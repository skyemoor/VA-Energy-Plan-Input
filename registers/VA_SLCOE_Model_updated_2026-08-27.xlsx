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4.xml.rels" ContentType="application/vnd.openxmlformats-package.relationships+xml"/>
  <Override PartName="/xl/worksheets/_rels/sheet14.xml.rels" ContentType="application/vnd.openxmlformats-package.relationships+xml"/>
  <Override PartName="/xl/worksheets/_rels/sheet5.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comments14.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_rels/workbook.xml.rels" ContentType="application/vnd.openxmlformats-package.relationships+xml"/>
  <Override PartName="/xl/comments4.xml" ContentType="application/vnd.openxmlformats-officedocument.spreadsheetml.comments+xml"/>
  <Override PartName="/xl/comments5.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Assumptions &amp; Sources" sheetId="2" state="visible" r:id="rId4"/>
    <sheet name="Summary" sheetId="3" state="visible" r:id="rId5"/>
    <sheet name="Demand_NEM" sheetId="4" state="visible" r:id="rId6"/>
    <sheet name="Externality_SocialCost" sheetId="5" state="visible" r:id="rId7"/>
    <sheet name="Scenario1" sheetId="6" state="visible" r:id="rId8"/>
    <sheet name="Scenario3" sheetId="7" state="visible" r:id="rId9"/>
    <sheet name="Scenario2_Base" sheetId="8" state="visible" r:id="rId10"/>
    <sheet name="Scenario3B" sheetId="9" state="visible" r:id="rId11"/>
    <sheet name="Scenario3C" sheetId="10" state="visible" r:id="rId12"/>
    <sheet name="Scenario2_Low" sheetId="11" state="visible" r:id="rId13"/>
    <sheet name="Scenario2_High" sheetId="12" state="visible" r:id="rId14"/>
    <sheet name="Scenario1B" sheetId="13" state="visible" r:id="rId15"/>
    <sheet name="DER_Owner_Economics" sheetId="14" state="visible" r:id="rId16"/>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B72" authorId="0">
      <text>
        <r>
          <rPr>
            <sz val="10"/>
            <rFont val="Arial"/>
            <family val="2"/>
          </rPr>
          <t xml:space="preserve">CONFIRMED, PENDING CORRECTION (tracked separately, dependent on item 3's deferred re-solve): the statute specifies granular interim milestones for the 16,100 MW solar/wind target -- 3,000 MW by 2024, +3,000 by 2027 (6,000 total), +4,000 by 2030 (10,000 total), +6,100 by 2035 (16,100 total) -- front-loaded, not a straight line. Our current Scenario 2 buildout uses simple linear interpolation from 0 (2026) to 16,100 (2035) instead, which understates the true, legally-required build at 2030 by ~2,844 MW (7,156 vs. 10,000) and at 2027 by ~4,211 MW (1,789 vs. 6,000). Since Scenario 2's solar is a fixed input directly sizing CCGT, this means our current 2030 checkpoint likely OVERSTATES required CCGT capacity and gas cost, since it understates how much solar the statute actually requires by that year. Correcting this requires replacing the 2030 checkpoint's solar target and re-solving -- deferred to the broader re-solve campaign (item 3), not fixed standalone.</t>
        </r>
      </text>
    </comment>
    <comment ref="B75" authorId="0">
      <text>
        <r>
          <rPr>
            <sz val="10"/>
            <rFont val="Arial"/>
            <family val="2"/>
          </rPr>
          <t xml:space="preserve">INTERPRETIVE ASSUMPTION, explicitly disclosed: the statute requires 4,000 MW of the 16,000 MW short-duration storage target to be "petitioned for" by Dec 31, 2030 -- literally a filing/application deadline, not necessarily a built-and-operational deadline the way the solar/wind interim milestones are. Per user instruction, this model treats "petitioned for" as equivalent to "installed" for buildout-schedule purposes -- a deliberate simplifying assumption, not a literal reading of the statutory text. Current linear-ramp storage figure at 2030 (3,368 MW) falls short of this treated-as-installed target by ~632 MW -- smaller than the solar/wind gap (~2,844 MW) but still material enough to incorporate into the same re-solve rather than ignore.</t>
        </r>
      </text>
    </comment>
    <comment ref="B106" authorId="0">
      <text>
        <r>
          <rPr>
            <sz val="10"/>
            <rFont val="Arial"/>
            <family val="2"/>
          </rPr>
          <t xml:space="preserve">CORRECTED (was: single blended 5.5%/4.0%/2.5% total-demand growth rate, which closely tracked the PJM DOM-ZONE-WIDE coincident-peak CAGR of 4.1-5.0%/yr -- itself heavily data-center-inclusive, risking double-counting if a separate DC component were simply added on top). NEW METHODOLOGY, per user instruction to focus on the data-center load component specifically: (1) Traditional (non-data-center) load: isolated using the JLARC/E3 report's own directly-sourced finding that "annual energy demand in Virginia, before data centers, grows steadily around 1%% per year" -- applied to a 2025 baseline with 2024's actual data-center energy contribution backed out. (2) Data-center load: modeled as an explicit, flat/24-7 addition (95% assumed load factor, disclosed), ramping from 3,583 MW (2024 actual, per Dominion SCC large-load testimony) to 9,000 MW by ~2034 (Dominion's own 2024 IRP forecast: "data center peak demand reaching 9 GW... in the next 10 years"), then held flat -- Dominion's IRP does not forecast beyond this 10-year window, so no sourced basis exists to extrapolate further growth; this is a disclosed, conservative assumption, not a certainty. RESULT: new forecast starts slightly ABOVE the old blended-rate forecast near-term (faster initial DC ramp), then diverges sharply BELOW it by later years (~32%% lower by 2045: 172,736 vs. 254,914 GWh) -- the old approach implicitly assumed data-center-like compounding growth continues indefinitely, which has no statutory or IRP basis beyond Dominion's own 10-year forecast window. PJM DOM-zone-wide growth rate (4.1-5.0%%) RETAINED as a separate citation per user instruction, not used as the demand basis.</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B6" authorId="0">
      <text>
        <r>
          <rPr>
            <sz val="10"/>
            <rFont val="Arial"/>
            <family val="2"/>
          </rPr>
          <t xml:space="preserve">Approx. VA 2025 total generation ~107,434 GWh (EIA-based, Wikipedia power-station mix); rounded up slightly for imports/losses/sales basis.</t>
        </r>
      </text>
    </comment>
    <comment ref="B11" authorId="0">
      <text>
        <r>
          <rPr>
            <sz val="10"/>
            <rFont val="Arial"/>
            <family val="2"/>
          </rPr>
          <t xml:space="preserve">Actual 2025 summer peak, DOM zone. Source: EIA, citing EIA-930 Hourly Electric Grid Monitor.</t>
        </r>
      </text>
    </comment>
    <comment ref="B13" authorId="0">
      <text>
        <r>
          <rPr>
            <sz val="10"/>
            <rFont val="Arial"/>
            <family val="2"/>
          </rPr>
          <t xml:space="preserve">Raised from 1% to 6% under 2020 VCEA (1 of 6 points reserved for LMI participants).</t>
        </r>
      </text>
    </comment>
    <comment ref="B17" authorId="0">
      <text>
        <r>
          <rPr>
            <sz val="10"/>
            <rFont val="Arial"/>
            <family val="2"/>
          </rPr>
          <t xml:space="preserve">Illustrative starting point; VA total installed DG+community solar context: ~7.5 GW statewide, ~5.3 GW utility-scale (SEIA; Cleanview, July 2026) leaving a multi-GW distributed pool, of which NEM-specific enrollment is a subset not separately published.</t>
        </r>
      </text>
    </comment>
    <comment ref="B19" authorId="0">
      <text>
        <r>
          <rPr>
            <sz val="10"/>
            <rFont val="Arial"/>
            <family val="2"/>
          </rPr>
          <t xml:space="preserve">UPDATED: blended actual capacity factor computed from 6 uploaded hourly insolation files (Chesapeake City, Albemarle County, King George County; 2016+2017), replacing the prior generic 20% benchmark. See Assumptions tab.</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B6" authorId="0">
      <text>
        <r>
          <rPr>
            <sz val="10"/>
            <rFont val="Arial"/>
            <family val="2"/>
          </rPr>
          <t xml:space="preserve">arXiv 2509.21312 (Texas data center backup generator study): 2.5MW unit, 100 hrs/yr = 130 tons CO2 / 250 MWh generated = 0.52 ton/MWh</t>
        </r>
      </text>
    </comment>
    <comment ref="B7" authorId="0">
      <text>
        <r>
          <rPr>
            <sz val="10"/>
            <rFont val="Arial"/>
            <family val="2"/>
          </rPr>
          <t xml:space="preserve">Midpoint of 0.0048-0.0092 ton/MWh range (arXiv 2509.21312 derived value cross-checked against EPA/AP-42 Tier 1-2 reference factors of 5-9.2 g/kWh)</t>
        </r>
      </text>
    </comment>
    <comment ref="B8" authorId="0">
      <text>
        <r>
          <rPr>
            <sz val="10"/>
            <rFont val="Arial"/>
            <family val="2"/>
          </rPr>
          <t xml:space="preserve">arXiv 2509.21312: 0.05 tons PM / 250 MWh = 0.0002 ton/MWh</t>
        </r>
      </text>
    </comment>
    <comment ref="B9" authorId="0">
      <text>
        <r>
          <rPr>
            <sz val="10"/>
            <rFont val="Arial"/>
            <family val="2"/>
          </rPr>
          <t xml:space="preserve">Illustrative low value reflecting mandatory ultra-low-sulfur diesel (15 ppm S) for Tier 4 engines; order-of-magnitude estimate, not independently source-verified this session</t>
        </r>
      </text>
    </comment>
    <comment ref="B12" authorId="0">
      <text>
        <r>
          <rPr>
            <sz val="10"/>
            <rFont val="Arial"/>
            <family val="2"/>
          </rPr>
          <t xml:space="preserve">EPA Dec 2023 SC-GHG report, 2030 emissions, 2020$</t>
        </r>
      </text>
    </comment>
    <comment ref="B13" authorId="0">
      <text>
        <r>
          <rPr>
            <sz val="10"/>
            <rFont val="Arial"/>
            <family val="2"/>
          </rPr>
          <t xml:space="preserve">EPA Dec 2023 SC-GHG report, central estimate</t>
        </r>
      </text>
    </comment>
    <comment ref="B14" authorId="0">
      <text>
        <r>
          <rPr>
            <sz val="10"/>
            <rFont val="Arial"/>
            <family val="2"/>
          </rPr>
          <t xml:space="preserve">EPA Dec 2023 SC-GHG report, 2030 emissions, 2020$</t>
        </r>
      </text>
    </comment>
    <comment ref="B15" authorId="0">
      <text>
        <r>
          <rPr>
            <sz val="10"/>
            <rFont val="Arial"/>
            <family val="2"/>
          </rPr>
          <t xml:space="preserve">EPA Dec 2023 SC-GHG report</t>
        </r>
      </text>
    </comment>
    <comment ref="B16" authorId="0">
      <text>
        <r>
          <rPr>
            <sz val="10"/>
            <rFont val="Arial"/>
            <family val="2"/>
          </rPr>
          <t xml:space="preserve">EPA Dec 2023 SC-GHG report</t>
        </r>
      </text>
    </comment>
    <comment ref="B24" authorId="0">
      <text>
        <r>
          <rPr>
            <sz val="10"/>
            <rFont val="Arial"/>
            <family val="2"/>
          </rPr>
          <t xml:space="preserve">EPA BenMAP/COBRA sector-based BPT table, 'area sources' category</t>
        </r>
      </text>
    </comment>
    <comment ref="B25" authorId="0">
      <text>
        <r>
          <rPr>
            <sz val="10"/>
            <rFont val="Arial"/>
            <family val="2"/>
          </rPr>
          <t xml:space="preserve">EPA BenMAP/COBRA sector-based BPT table, 'area sources' category</t>
        </r>
      </text>
    </comment>
    <comment ref="B26" authorId="0">
      <text>
        <r>
          <rPr>
            <sz val="10"/>
            <rFont val="Arial"/>
            <family val="2"/>
          </rPr>
          <t xml:space="preserve">EPA BenMAP/COBRA sector-based BPT table, 'area sources' category</t>
        </r>
      </text>
    </comment>
    <comment ref="B32" authorId="0">
      <text>
        <r>
          <rPr>
            <sz val="10"/>
            <rFont val="Arial"/>
            <family val="2"/>
          </rPr>
          <t xml:space="preserve">Illustrative -- not precise COBRA county-level output</t>
        </r>
      </text>
    </comment>
    <comment ref="B33" authorId="0">
      <text>
        <r>
          <rPr>
            <sz val="10"/>
            <rFont val="Arial"/>
            <family val="2"/>
          </rPr>
          <t xml:space="preserve">Reference case = EPA area-source base rate as-is</t>
        </r>
      </text>
    </comment>
    <comment ref="B34" authorId="0">
      <text>
        <r>
          <rPr>
            <sz val="10"/>
            <rFont val="Arial"/>
            <family val="2"/>
          </rPr>
          <t xml:space="preserve">Illustrative -- not precise COBRA county-level output</t>
        </r>
      </text>
    </comment>
    <comment ref="B37" authorId="0">
      <text>
        <r>
          <rPr>
            <sz val="10"/>
            <rFont val="Arial"/>
            <family val="2"/>
          </rPr>
          <t xml:space="preserve">Reference case</t>
        </r>
      </text>
    </comment>
    <comment ref="B38" authorId="0">
      <text>
        <r>
          <rPr>
            <sz val="10"/>
            <rFont val="Arial"/>
            <family val="2"/>
          </rPr>
          <t xml:space="preserve">UC Irvine APEP grid-disruption health cost study: episodic modeling understates sustained-exposure health impact by roughly an order of magnitude</t>
        </r>
      </text>
    </comment>
    <comment ref="B68" authorId="0">
      <text>
        <r>
          <rPr>
            <sz val="10"/>
            <rFont val="Arial"/>
            <family val="2"/>
          </rPr>
          <t xml:space="preserve">Derived: 6.4 MMBtu/MWh x 53.06 kg/MMBtu / 1000</t>
        </r>
      </text>
    </comment>
    <comment ref="B69" authorId="0">
      <text>
        <r>
          <rPr>
            <sz val="10"/>
            <rFont val="Arial"/>
            <family val="2"/>
          </rPr>
          <t xml:space="preserve">Illustrative -- general engineering estimate, modern SCR-equipped NGCC</t>
        </r>
      </text>
    </comment>
    <comment ref="B70" authorId="0">
      <text>
        <r>
          <rPr>
            <sz val="10"/>
            <rFont val="Arial"/>
            <family val="2"/>
          </rPr>
          <t xml:space="preserve">Illustrative -- pipeline gas is desulfurized</t>
        </r>
      </text>
    </comment>
    <comment ref="B71" authorId="0">
      <text>
        <r>
          <rPr>
            <sz val="10"/>
            <rFont val="Arial"/>
            <family val="2"/>
          </rPr>
          <t xml:space="preserve">Illustrative -- general engineering estimate</t>
        </r>
      </text>
    </comment>
  </commentList>
</comments>
</file>

<file path=xl/comments14.xml><?xml version="1.0" encoding="utf-8"?>
<comments xmlns="http://schemas.openxmlformats.org/spreadsheetml/2006/main" xmlns:xdr="http://schemas.openxmlformats.org/drawingml/2006/spreadsheetDrawing">
  <authors>
    <author>Unknown Author</author>
  </authors>
  <commentList>
    <comment ref="B169" authorId="0">
      <text>
        <r>
          <rPr>
            <sz val="10"/>
            <rFont val="Arial"/>
            <family val="2"/>
          </rPr>
          <t xml:space="preserve">Blend: 60% residential @ ~$2.60-2.75/W (EnergySage 2026) + 40% small/mid C&amp;I @ ~$1.60/W (NuWatt 2026).</t>
        </r>
      </text>
    </comment>
    <comment ref="B170" authorId="0">
      <text>
        <r>
          <rPr>
            <sz val="10"/>
            <rFont val="Arial"/>
            <family val="2"/>
          </rPr>
          <t xml:space="preserve">CAVEAT: this figure represents a 2026-vintage project specifically -- it is NOT valid for projects built later in the 2026-2045 analysis window. Per the One Big Beautiful Bill (signed July 4, 2025), Section 48E commercial/third-party-owned solar ITC eligibility requires construction to have begun by July 4, 2026 (for a Dec 31, 2030 placed-in-service deadline) or placed in service by Dec 31, 2027 (general rule, no safe harbor). There is no phase-down -- after the applicable deadline, the credit simply does not apply to new projects at all. A 2026-vintage project (as modeled here) qualifies; projects built in, e.g., 2035 would NOT, and their true NPV would be substantially lower than this figure implies. This single, flat value should not be generalized to represent DER owner economics across the full analysis period. A fuller, vintage-specific fix is tracked separately.</t>
        </r>
      </text>
    </comment>
    <comment ref="B171" authorId="0">
      <text>
        <r>
          <rPr>
            <sz val="10"/>
            <rFont val="Arial"/>
            <family val="2"/>
          </rPr>
          <t xml:space="preserve">General NREL ATB residential/small-commercial O&amp;M benchmark.</t>
        </r>
      </text>
    </comment>
    <comment ref="B172" authorId="0">
      <text>
        <r>
          <rPr>
            <sz val="10"/>
            <rFont val="Arial"/>
            <family val="2"/>
          </rPr>
          <t xml:space="preserve">Approximates a blended residential financing-cost-equivalent and small-C&amp;I hurdle rate.</t>
        </r>
      </text>
    </comment>
    <comment ref="B175" authorId="0">
      <text>
        <r>
          <rPr>
            <sz val="10"/>
            <rFont val="Arial"/>
            <family val="2"/>
          </rPr>
          <t xml:space="preserve">Midpoint of 2026 solar-carport range ($3.15-$4.50/W) — elevated steel/aluminum support structure costs more than simple rooftop mounting.</t>
        </r>
      </text>
    </comment>
    <comment ref="B176" authorId="0">
      <text>
        <r>
          <rPr>
            <sz val="10"/>
            <rFont val="Arial"/>
            <family val="2"/>
          </rPr>
          <t xml:space="preserve">CAVEAT: this figure represents a 2026-vintage project specifically -- it is NOT valid for projects built later in the 2026-2045 analysis window. Per the One Big Beautiful Bill (signed July 4, 2025), Section 48E commercial/third-party-owned solar ITC eligibility requires construction to have begun by July 4, 2026 (for a Dec 31, 2030 placed-in-service deadline) or placed in service by Dec 31, 2027 (general rule, no safe harbor). There is no phase-down -- after the applicable deadline, the credit simply does not apply to new projects at all. A 2026-vintage project (as modeled here) qualifies; projects built in, e.g., 2035 would NOT, and their true NPV would be substantially lower than this figure implies. This single, flat value should not be generalized to represent DER owner economics across the full analysis period. A fuller, vintage-specific fix is tracked separately.</t>
        </r>
      </text>
    </comment>
    <comment ref="B177" authorId="0">
      <text>
        <r>
          <rPr>
            <sz val="10"/>
            <rFont val="Arial"/>
            <family val="2"/>
          </rPr>
          <t xml:space="preserve">General NREL ATB commercial-scale O&amp;M benchmark.</t>
        </r>
      </text>
    </comment>
    <comment ref="B178" authorId="0">
      <text>
        <r>
          <rPr>
            <sz val="10"/>
            <rFont val="Arial"/>
            <family val="2"/>
          </rPr>
          <t xml:space="preserve">Typical commercial project hurdle rate.</t>
        </r>
      </text>
    </comment>
    <comment ref="B221" authorId="0">
      <text>
        <r>
          <rPr>
            <sz val="10"/>
            <rFont val="Arial"/>
            <family val="2"/>
          </rPr>
          <t xml:space="preserve">NY VDER LSRV rate for projects qualifying after 7/26/2018: $3.072/kW-month x 12. See Assumptions tab for full detail.</t>
        </r>
      </text>
    </comment>
    <comment ref="B222" authorId="0">
      <text>
        <r>
          <rPr>
            <sz val="10"/>
            <rFont val="Arial"/>
            <family val="2"/>
          </rPr>
          <t xml:space="preserve">Matches NY VDER's actual 10-year LSRV rate lock-in term.</t>
        </r>
      </text>
    </comment>
    <comment ref="B258" authorId="0">
      <text>
        <r>
          <rPr>
            <sz val="10"/>
            <rFont val="Arial"/>
            <family val="2"/>
          </rPr>
          <t xml:space="preserve">CORRECTED (was: carve-out described as a direct % of total retail sales). Va. Code SS56-585.5 states the distributed (&lt;=1MW) carve-out is measured "as a percentage of the Phase II Utility's RPS Program requirements" -- 4.5% of the RPS requirement (2026-2030), 5% (2031-2045) -- NOT 4.5%/5% of total sales directly. Since the RPS requirement itself grows over time (29% in 2026 to 100% by 2045), the TRUE effective carve-out as a share of total sales grows gradually, not as an immediate step-change:
2026: 1.30% | 2030: 1.84% | 2035: 2.95% | 2040: 3.95% | 2044: 4.75% | 2045: 5.00% (converges to the same long-run endpoint, but the path there is materially more gradual than a flat 4.5%/5% would suggest).
IMPORTANT, NOT YET RESOLVED: this correction is to the MECHANISM DESCRIPTION only. Whether the D-REC PRICE figures themselves (4.50/$42.50/$67.50, sourced from three independent brokers -- Flett Exchange, RECmint, and a third) need revision given this corrected mechanism, or whether those broker estimates already correctly priced the true mechanism (making no price change needed), is tracked separately (tracker item 6, dependent on this item).</t>
        </r>
      </text>
    </comment>
    <comment ref="B259" authorId="0">
      <text>
        <r>
          <rPr>
            <sz val="10"/>
            <rFont val="Arial"/>
            <family val="2"/>
          </rPr>
          <t xml:space="preserve">Computed from real DOM zone hourly load data against DRV's actual $0.2108/kWh, 2-7pm weekday Jun24-Sep15 mechanism, for a representative 1kW/4hr battery. Modeled here as a flat annual rate (see note above on this simplification).</t>
        </r>
      </text>
    </comment>
    <comment ref="B264" authorId="0">
      <text>
        <r>
          <rPr>
            <sz val="10"/>
            <rFont val="Arial"/>
            <family val="2"/>
          </rPr>
          <t xml:space="preserve">Computed from real DOM zone hourly load data against DRV's actual $0.2108/kWh, 2-7pm weekday Jun24-Sep15 mechanism, for a representative 1kW/4hr battery. Modeled here as a flat annual rate (see note above on this simplification).</t>
        </r>
      </text>
    </comment>
    <comment ref="B265" authorId="0">
      <text>
        <r>
          <rPr>
            <sz val="10"/>
            <rFont val="Arial"/>
            <family val="2"/>
          </rPr>
          <t xml:space="preserve">DISCLOSED FIX: original formula (in the source file, before any extraction) was "=C176*$B$252" -- an absolute reference to a TEXT cell (B252 holds an explanatory note, not a number), producing #VALUE! in the ORIGINAL, UNMODIFIED file too -- confirmed via direct comparison, not something this extraction introduced. Label ("storage capacity credit... PJM-ELCC schedule") does not clearly match a formula multiplying solar generation by a REC-rate-shaped cell, so the true original intent is genuinely uncertain -- this fix is a disclosed best guess, not a confident correction. Applied fix: reference the correct NUMERIC D-REC rate cell (row 258, this same column) instead of the text cell, using a COLUMN-RELATIVE reference so each year correctly uses its own escalating rate ($24.50 2026-27 -&gt; $42.50 2028 -&gt; $67.50 2029, then +1%/yr) rather than a flat single-year value.</t>
        </r>
      </text>
    </comment>
    <comment ref="B298" authorId="0">
      <text>
        <r>
          <rPr>
            <sz val="10"/>
            <rFont val="Arial"/>
            <family val="2"/>
          </rPr>
          <t xml:space="preserve">PLACEHOLDER = 1.00 (no premium). Real Loudoun data suggests an idealized ceiling of 2.0-2.9x depending on battery duration; a discounted, realistic figure is still to be decided.</t>
        </r>
      </text>
    </comment>
    <comment ref="B299" authorId="0">
      <text>
        <r>
          <rPr>
            <sz val="10"/>
            <rFont val="Arial"/>
            <family val="2"/>
          </rPr>
          <t xml:space="preserve">Per your confirmation.</t>
        </r>
      </text>
    </comment>
    <comment ref="B303" authorId="0">
      <text>
        <r>
          <rPr>
            <sz val="10"/>
            <rFont val="Arial"/>
            <family val="2"/>
          </rPr>
          <t xml:space="preserve">PLACEHOLDER = 1.00 (no premium). Real Loudoun data suggests an idealized ceiling of 2.0-2.9x depending on battery duration; a discounted, realistic figure is still to be decided.</t>
        </r>
      </text>
    </comment>
    <comment ref="B304" authorId="0">
      <text>
        <r>
          <rPr>
            <sz val="10"/>
            <rFont val="Arial"/>
            <family val="2"/>
          </rPr>
          <t xml:space="preserve">Per your confirmation.</t>
        </r>
      </text>
    </comment>
    <comment ref="B305" authorId="0">
      <text>
        <r>
          <rPr>
            <sz val="10"/>
            <rFont val="Arial"/>
            <family val="2"/>
          </rPr>
          <t xml:space="preserve">PLACEHOLDER = 1.00 (no premium). Real Loudoun data suggests an idealized ceiling of 2.0-2.9x depending on battery duration; a discounted, realistic figure is still to be decided.</t>
        </r>
      </text>
    </comment>
    <comment ref="B306" authorId="0">
      <text>
        <r>
          <rPr>
            <sz val="10"/>
            <rFont val="Arial"/>
            <family val="2"/>
          </rPr>
          <t xml:space="preserve">Per your confirmation.</t>
        </r>
      </text>
    </comment>
    <comment ref="B393" authorId="0">
      <text>
        <r>
          <rPr>
            <sz val="10"/>
            <rFont val="Arial"/>
            <family val="2"/>
          </rPr>
          <t xml:space="preserve">CROSS-REFERENCE, added 2026-08-27, values NOT changed: a fuller third-party VPP/DERA compensation benchmark table (9 utility territories, $80-$275/kW-yr range) is now available in the Assumptions &amp; Sources tab ("Third-Party VPP/DERA Compensation Benchmarks" rows). This $200/$100 NH-based rate was a deliberate choice, not a placeholder -- selected over MA's $275/$50 split specifically because NH's more winter-weighted structure better matches this model's own finding that Virginia's data-center-driven load has a genuine winter peak (see rows above, cols A-E, same tab, original rationale). The new benchmark table is cross-check context, not a proposed replacement -- left unchanged pending a decision on whether newer data warrants reconsidering this choice.</t>
        </r>
      </text>
    </comment>
    <comment ref="B394" authorId="0">
      <text>
        <r>
          <rPr>
            <sz val="10"/>
            <rFont val="Arial"/>
            <family val="2"/>
          </rPr>
          <t xml:space="preserve">CROSS-REFERENCE, added 2026-08-27, values NOT changed: a fuller third-party VPP/DERA compensation benchmark table (9 utility territories, $80-$275/kW-yr range) is now available in the Assumptions &amp; Sources tab ("Third-Party VPP/DERA Compensation Benchmarks" rows). This $200/$100 NH-based rate was a deliberate choice, not a placeholder -- selected over MA's $275/$50 split specifically because NH's more winter-weighted structure better matches this model's own finding that Virginia's data-center-driven load has a genuine winter peak (see rows above, cols A-E, same tab, original rationale). The new benchmark table is cross-check context, not a proposed replacement -- left unchanged pending a decision on whether newer data warrants reconsidering this choice.</t>
        </r>
      </text>
    </comment>
    <comment ref="B397" authorId="0">
      <text>
        <r>
          <rPr>
            <sz val="10"/>
            <rFont val="Arial"/>
            <family val="2"/>
          </rPr>
          <t xml:space="preserve">EXPLICIT, SEPARATE ASSUMPTION, not derived from any real program requirement: 1.0 kW of battery discharge capacity per kW-AC of solar installed. This is a simplifying, round-number starting point, not a sourced industry standard -- actual solar+storage pairing ratios vary widely (commonly cited range: roughly 0.5-1.0 kW battery per kW solar) depending on whether the primary goal is backup power, self-consumption, or VPP participation specifically. Revisit this ratio if a more specific, sourced figure becomes available.</t>
        </r>
      </text>
    </comment>
    <comment ref="C335" authorId="0">
      <text>
        <r>
          <rPr>
            <sz val="10"/>
            <rFont val="Arial"/>
            <family val="2"/>
          </rPr>
          <t xml:space="preserve">Gross cost with zero incentive adjustment -- ITC does not apply to this vintage.</t>
        </r>
      </text>
    </comment>
  </commentList>
</comments>
</file>

<file path=xl/sharedStrings.xml><?xml version="1.0" encoding="utf-8"?>
<sst xmlns="http://schemas.openxmlformats.org/spreadsheetml/2006/main" count="1306" uniqueCount="1088">
  <si>
    <t xml:space="preserve">Virginia System Levelized Cost of Energy (SLCOE) Model — 25-Year Comparison</t>
  </si>
  <si>
    <t xml:space="preserve">Two supply-mix scenarios for meeting projected Virginia (Dominion zone) electricity demand, 2026-2050</t>
  </si>
  <si>
    <t xml:space="preserve">SCOPE &amp; PURPOSE</t>
  </si>
  <si>
    <t xml:space="preserve">This workbook builds an illustrative, fully-sourced, assumption-driven comparison of two supply portfolios for meeting Virginia's</t>
  </si>
  <si>
    <t xml:space="preserve">(Dominion zone) projected electricity demand through 2045+ (modeled 2026-2050), net of behind-the-meter solar that grows linearly</t>
  </si>
  <si>
    <t xml:space="preserve">to the statutory 6% net-metering cap. It is a directional planning-level tool, NOT a bankable IRP-grade or production-cost model.</t>
  </si>
  <si>
    <t xml:space="preserve">CRITICAL LIMITATIONS — READ BEFORE USING THESE NUMBERS</t>
  </si>
  <si>
    <t xml:space="preserve">1. TRUE HOURLY DISPATCH, VERIFIED AGAINST REAL WEATHER. This model solves a genuine 8,760-hour linear program at each checkpoint</t>
  </si>
  <si>
    <t xml:space="preserve">   year (2030/2035/2040/2044.5), using actual historical hourly weather -- not a typical/average year, and not an annual GWh</t>
  </si>
  <si>
    <t xml:space="preserve">   balance. The design weather year (Apr 2016-Mar 2017) was chosen because it contains a sustained multi-week low-solar/low-wind</t>
  </si>
  <si>
    <t xml:space="preserve">   event, verified as the min-max-robust choice against two other tested severe-weather years (2013-14 Polar Vortex, 2012-13</t>
  </si>
  <si>
    <t xml:space="preserve">   acute insolation lull). Storage state-of-charge and solar's daily/seasonal shape are modeled directly, not assumed away.</t>
  </si>
  <si>
    <t xml:space="preserve">   Known, disclosed limitations of this hourly approach (weather-year sample size, single-node network, export-cap) are in Appendix A.</t>
  </si>
  <si>
    <t xml:space="preserve">2. MANY UNIT-COST INPUTS ARE NATIONAL/INDUSTRY BENCHMARKS (NREL ATB, Lazard, EIA), NOT DOMINION-SPECIFIC. Dominion's actual</t>
  </si>
  <si>
    <t xml:space="preserve">   transmission interconnection costs, PPA prices, and VPP wholesale-revenue capture are not public at this granularity. Every such</t>
  </si>
  <si>
    <t xml:space="preserve">   proxy is labeled in the Assumptions tab and in a comment on its input cell.</t>
  </si>
  <si>
    <t xml:space="preserve">3. DEMAND FORECAST IS THE SINGLE BIGGEST SOURCE OF UNCERTAINTY, by far exceeding any generation-cost assumption difference between</t>
  </si>
  <si>
    <t xml:space="preserve">   scenarios. Cited sources bracket Virginia/Dominion-zone demand growth from ~121% (PJM 2026 Long-Term Load Forecast, DOM zone summer</t>
  </si>
  <si>
    <t xml:space="preserve">   peak, 2025-2045) to ~183% (Dominion 2025 IRP, total VA demand, 2023-2040, as reported by AAF). The model uses a blended path in-between.</t>
  </si>
  <si>
    <t xml:space="preserve">4. ALL DOLLARS ARE CONSTANT (REAL) 2026 DOLLARS discounted at a real WACC, to avoid conflating cost comparisons with inflation assumptions.</t>
  </si>
  <si>
    <t xml:space="preserve">   PJM capacity-market prices and near-term gas prices reported in news sources are nominal; they were converted/treated as approximately</t>
  </si>
  <si>
    <t xml:space="preserve">   real for near-term years given low near-term inflation differentials — treat single-year precision accordingly.</t>
  </si>
  <si>
    <t xml:space="preserve">5. CAPITAL COSTS ARE ANNUALIZED VIA A LEVELIZED CAPITAL RECOVERY FACTOR (CRF, 25-yr, real WACC) APPLIED TO CUMULATIVE INSTALLED</t>
  </si>
  <si>
    <t xml:space="preserve">   CAPACITY EACH YEAR, not vintage-by-vintage rolling annuities. This is a standard LCOE-style simplification; it slightly smooths — but</t>
  </si>
  <si>
    <t xml:space="preserve">   does not materially bias — the year-to-year cost profile relative to a full vintage-tracking model.</t>
  </si>
  <si>
    <t xml:space="preserve">HOW SLCOE IS CALCULATED</t>
  </si>
  <si>
    <t xml:space="preserve">SLCOE ($/MWh) = [Present Value of net annual system cost, 2026-2050] / [Present Value of annual GWh served, 2026-2050] x 1,000</t>
  </si>
  <si>
    <t xml:space="preserve">Net annual system cost = capital (annualized) + fixed &amp; variable O&amp;M + fuel + transmission/interconnection − wholesale/capacity revenue.</t>
  </si>
  <si>
    <t xml:space="preserve">Real discount rate: 4.5% (see Assumptions). This mirrors standard utility-scale LCOE methodology (e.g. Lazard, NREL ATB).</t>
  </si>
  <si>
    <t xml:space="preserve">TAB GUIDE</t>
  </si>
  <si>
    <t xml:space="preserve">Assumptions &amp; Sources  — every input used anywhere in the model, categorized, with citations</t>
  </si>
  <si>
    <t xml:space="preserve">Demand_NEM             — VA/Dominion demand forecast, 6% NEM-cap solar carve-out, net utility-served demand (feeds both scenarios)</t>
  </si>
  <si>
    <t xml:space="preserve">Scenario 1              — Utility solar+storage (VPP/wholesale-firmed) + existing nuclear + existing solar + CVOW offshore wind</t>
  </si>
  <si>
    <t xml:space="preserve">Scenario 2              — VCEA/RPS-minimum solar+storage + existing nuclear + existing solar + 1.2 GW CCGT units (65% CF) for the rest</t>
  </si>
  <si>
    <t xml:space="preserve">Scenario 3                — Scenario 1's new build re-split 80% utility / 10% rooftop / 10% parking lot, with distribution transformer</t>
  </si>
  <si>
    <t xml:space="preserve">                          costs and owner-side NPV returns for the rooftop and parking-lot segments</t>
  </si>
  <si>
    <t xml:space="preserve">Summary                 — headline GW/GWh answers and side-by-side SLCOE comparison</t>
  </si>
  <si>
    <t xml:space="preserve">Master Assumptions &amp; Sources</t>
  </si>
  <si>
    <t xml:space="preserve">Category</t>
  </si>
  <si>
    <t xml:space="preserve">Assumption</t>
  </si>
  <si>
    <t xml:space="preserve">Value</t>
  </si>
  <si>
    <t xml:space="preserve">Notes</t>
  </si>
  <si>
    <t xml:space="preserve">Source</t>
  </si>
  <si>
    <t xml:space="preserve">Demand</t>
  </si>
  <si>
    <t xml:space="preserve">2025 Virginia total system generation, baseline (GWh)</t>
  </si>
  <si>
    <t xml:space="preserve">110,000</t>
  </si>
  <si>
    <t xml:space="preserve">Approx.; 2025 statewide generation mix sums to ~107,434 GWh; rounded up slightly for sales+losses+imports.</t>
  </si>
  <si>
    <t xml:space="preserve">EIA-based; Wikipedia 'List of power stations in Virginia', 2025 generation mix table</t>
  </si>
  <si>
    <t xml:space="preserve">2025 Dominion (DOM) zone summer peak load (MW)</t>
  </si>
  <si>
    <t xml:space="preserve">23,905</t>
  </si>
  <si>
    <t xml:space="preserve">Actual 2025 summer peak.</t>
  </si>
  <si>
    <t xml:space="preserve">EIA 'Commercial electricity sales have soared in Virginia' (May 2026), citing EIA-930 Hourly Electric Grid Monitor</t>
  </si>
  <si>
    <t xml:space="preserve">Demand growth rate, 2026-2035</t>
  </si>
  <si>
    <t xml:space="preserve">5.5%/yr</t>
  </si>
  <si>
    <t xml:space="preserve">Dominion's own stated 10-yr forward growth rate.</t>
  </si>
  <si>
    <t xml:space="preserve">Dominion 2025 IRP, as reported by ReisingerGooch: 'demand...will grow 5.5% annually for the next decade and double by 2039'</t>
  </si>
  <si>
    <t xml:space="preserve">Demand growth rate, 2036-2039</t>
  </si>
  <si>
    <t xml:space="preserve">~4.0%/yr</t>
  </si>
  <si>
    <t xml:space="preserve">Derived: rate needed for cumulative doubling by 2039 given 5.5%/yr through 2035.</t>
  </si>
  <si>
    <t xml:space="preserve">Derived from Dominion's 'double by 2039' statement (same source)</t>
  </si>
  <si>
    <t xml:space="preserve">Demand growth rate, 2040-2050</t>
  </si>
  <si>
    <t xml:space="preserve">2.5%/yr</t>
  </si>
  <si>
    <t xml:space="preserve">Assumed moderation as data-center buildout matures; judgment call, not a cited Dominion figure.</t>
  </si>
  <si>
    <t xml:space="preserve">Model assumption — bounds cumulative 2025-2045 growth near the 121-183% range bracketed by cited sources below</t>
  </si>
  <si>
    <t xml:space="preserve">Cross-check: DOM zone peak growth 2025-2045</t>
  </si>
  <si>
    <t xml:space="preserve">+121%</t>
  </si>
  <si>
    <t xml:space="preserve">PJM's own 20-year forecast for the DOM zone specifically (peak load, not energy).</t>
  </si>
  <si>
    <t xml:space="preserve">American Action Forum, citing PJM 2026 Long-Term Load Forecast Report</t>
  </si>
  <si>
    <t xml:space="preserve">Cross-check: VA total demand growth 2023-2040</t>
  </si>
  <si>
    <t xml:space="preserve">+183%</t>
  </si>
  <si>
    <t xml:space="preserve">Higher, energy-basis (not peak) Dominion IRP figure; higher because it includes full data-center ramp through 2040 vs PJM's smoother 20-yr peak curve.</t>
  </si>
  <si>
    <t xml:space="preserve">American Action Forum, citing Dominion Energy 2025 IRP Update</t>
  </si>
  <si>
    <t xml:space="preserve">Net Metering</t>
  </si>
  <si>
    <t xml:space="preserve">Statutory net-metering cap</t>
  </si>
  <si>
    <t xml:space="preserve">6% of prior-year peak load</t>
  </si>
  <si>
    <t xml:space="preserve">Raised from 1% under 2020 VCEA; 1 of the 6 points reserved for low-to-moderate-income participants.</t>
  </si>
  <si>
    <t xml:space="preserve">Va. Code §56-594; CCAN Action Fund VCEA fact sheet</t>
  </si>
  <si>
    <t xml:space="preserve">2026 starting NEM-enrolled solar capacity (MW)</t>
  </si>
  <si>
    <t xml:space="preserve">500</t>
  </si>
  <si>
    <t xml:space="preserve">Illustrative starting point for the linear ramp; actual current NEM-specific enrollment (as opposed to all distributed/community solar) is not separately published at this granularity.</t>
  </si>
  <si>
    <t xml:space="preserve">Model assumption, bounded by VA total installed DG solar context (SEIA: VA is 9th-largest solar market, 7.5 GW total, of which ~5.3 GW is utility-scale per Cleanview, February 2026)</t>
  </si>
  <si>
    <t xml:space="preserve">NEM distributed solar capacity factor</t>
  </si>
  <si>
    <t xml:space="preserve">20%</t>
  </si>
  <si>
    <t xml:space="preserve">Lower than utility-scale tracking solar; reflects fixed-tilt rooftop orientation mix.</t>
  </si>
  <si>
    <t xml:space="preserve">NREL PVWatts typical range for mid-Atlantic fixed-tilt systems</t>
  </si>
  <si>
    <t xml:space="preserve">Financial</t>
  </si>
  <si>
    <t xml:space="preserve">Real discount rate (WACC, real)</t>
  </si>
  <si>
    <t xml:space="preserve">4.5%</t>
  </si>
  <si>
    <t xml:space="preserve">Approximates Dominion's allowed capital structure/ROE (~9.6-10% nominal ROE, ~50/50 debt/equity) less ~2.5% assumed inflation.</t>
  </si>
  <si>
    <t xml:space="preserve">Model assumption based on typical Virginia SCC-allowed utility ROE range; not a specific SCC order figure</t>
  </si>
  <si>
    <t xml:space="preserve">Capital recovery factor basis</t>
  </si>
  <si>
    <t xml:space="preserve">25-year asset life</t>
  </si>
  <si>
    <t xml:space="preserve">CRF = r(1+r)^n/[(1+r)^n-1], r=4.5%, n=25 -&gt; CRF ≈ 6.74%/yr</t>
  </si>
  <si>
    <t xml:space="preserve">Standard LCOE methodology (NREL ATB, Lazard)</t>
  </si>
  <si>
    <t xml:space="preserve">General inflation (context only; model is in real $)</t>
  </si>
  <si>
    <t xml:space="preserve">Used only to sanity-check nominal EIA/news figures against the model's real-dollar framework.</t>
  </si>
  <si>
    <t xml:space="preserve">Approx. long-run Fed/EIA convention</t>
  </si>
  <si>
    <t xml:space="preserve">Nuclear</t>
  </si>
  <si>
    <t xml:space="preserve">Surry Power Station nameplate capacity</t>
  </si>
  <si>
    <t xml:space="preserve">1,676 MW</t>
  </si>
  <si>
    <t xml:space="preserve">2 units.</t>
  </si>
  <si>
    <t xml:space="preserve">Wikipedia 'Surry Nuclear Power Plant'</t>
  </si>
  <si>
    <t xml:space="preserve">North Anna Power Station nameplate capacity</t>
  </si>
  <si>
    <t xml:space="preserve">1,892 MW</t>
  </si>
  <si>
    <t xml:space="preserve">2 units (current, excludes any future Unit 3).</t>
  </si>
  <si>
    <t xml:space="preserve">Wikipedia 'North Anna Nuclear Generating Station'</t>
  </si>
  <si>
    <t xml:space="preserve">Combined VA nuclear capacity used in model</t>
  </si>
  <si>
    <t xml:space="preserve">3,568 MW</t>
  </si>
  <si>
    <t xml:space="preserve">Surry + North Anna, held flat for 25 years (both units relicensed to 2052-53 (Surry) and long-term operation expected at North Anna).</t>
  </si>
  <si>
    <t xml:space="preserve">Sum of above; NRC subsequent license renewals as reported by virginiaplaces.org</t>
  </si>
  <si>
    <t xml:space="preserve">Nuclear capacity factor</t>
  </si>
  <si>
    <t xml:space="preserve">92%</t>
  </si>
  <si>
    <t xml:space="preserve">Conservative long-run average incl. refueling outages; historical unit-level CFs cited as high as 97-98% in strong years.</t>
  </si>
  <si>
    <t xml:space="preserve">Wikipedia plant pages (97.3%/98.27% single-year highs); model uses a more conservative long-run average</t>
  </si>
  <si>
    <t xml:space="preserve">Nuclear marginal operating cost (fuel + O&amp;M, existing/depreciated plant)</t>
  </si>
  <si>
    <t xml:space="preserve">$29/MWh</t>
  </si>
  <si>
    <t xml:space="preserve">Reflects Lazard's framing of marginal cost of operating a fully depreciated nuclear plant (fuel + O&amp;M, no new capital charge) plus a margin for decommissioning-fund contributions.</t>
  </si>
  <si>
    <t xml:space="preserve">Derived from Lazard LCOE+ (June 2025) nuclear fuel assumption of $0.85/MMBtu (~$8.84/MWh at typical 10,400 Btu/kWh heat rate) plus typical existing-fleet O&amp;M</t>
  </si>
  <si>
    <t xml:space="preserve">Existing Solar</t>
  </si>
  <si>
    <t xml:space="preserve">Existing VA utility-scale solar capacity</t>
  </si>
  <si>
    <t xml:space="preserve">5,300 MW</t>
  </si>
  <si>
    <t xml:space="preserve">As of July 2026; 143 operating utility-scale solar farms in Virginia.</t>
  </si>
  <si>
    <t xml:space="preserve">Cleanview Virginia Solar Farm Map &amp; Project List, July 2026</t>
  </si>
  <si>
    <t xml:space="preserve">Existing solar capacity factor</t>
  </si>
  <si>
    <t xml:space="preserve">24%</t>
  </si>
  <si>
    <t xml:space="preserve">Blended VA utility-scale mix (mostly fixed-tilt/single-axis tracking).</t>
  </si>
  <si>
    <t xml:space="preserve">NREL ATB / typical mid-Atlantic utility solar CF range</t>
  </si>
  <si>
    <t xml:space="preserve">Existing solar fixed O&amp;M</t>
  </si>
  <si>
    <t xml:space="preserve">$24/kW-yr</t>
  </si>
  <si>
    <t xml:space="preserve">Comprehensive scope: core maintenance plus land lease, property tax, insurance, asset mgmt, security. VA climate vegetation penalty offset by agrivoltaic sheep grazing (mainstream practice, ASGA 2024 Census).</t>
  </si>
  <si>
    <t xml:space="preserve">NREL ATB 2022 base year (comprehensive scope per NREL's own 2021 ATB documentation); reconciled against Lazard LCOE+ v18.0 ($11-14/kW-yr, narrow scope) and LBNL 2025 Data Update ($11/kWAC-yr, real FERC Form 1 data, narrow scope) -- see Scenario1 cell comment for full three-source reconciliation</t>
  </si>
  <si>
    <t xml:space="preserve">Offshore Wind (CVOW)</t>
  </si>
  <si>
    <t xml:space="preserve">CVOW nameplate capacity</t>
  </si>
  <si>
    <t xml:space="preserve">2,600 MW (2,587 MW approved)</t>
  </si>
  <si>
    <t xml:space="preserve">176 turbines; began delivering power March 23, 2026; full completion expected early 2027.</t>
  </si>
  <si>
    <t xml:space="preserve">BOEM Record of Decision; Utility Dive, March 2026</t>
  </si>
  <si>
    <t xml:space="preserve">CVOW capacity factor</t>
  </si>
  <si>
    <t xml:space="preserve">42%</t>
  </si>
  <si>
    <t xml:space="preserve">Wikipedia 'Coastal Virginia Offshore Wind'</t>
  </si>
  <si>
    <t xml:space="preserve">CVOW levelized cost of energy</t>
  </si>
  <si>
    <t xml:space="preserve">$91/MWh (2027$)</t>
  </si>
  <si>
    <t xml:space="preserve">Dominion-disclosed project LCOE as of Feb 2025, based on ~$8.7B capital cost excluding onshore transmission.</t>
  </si>
  <si>
    <t xml:space="preserve">Lazard LCOE+ (June 2025), citing Dominion's public disclosure</t>
  </si>
  <si>
    <t xml:space="preserve">CVOW-dedicated onshore/offshore transmission upgrade cost</t>
  </si>
  <si>
    <t xml:space="preserve">$400/kW</t>
  </si>
  <si>
    <t xml:space="preserve">Full CVOW deliverability requires separate PJM transmission upgrades; no public $/kW figure found for Virginia specifically — this is a general offshore-wind transmission benchmark, not Dominion-specific.</t>
  </si>
  <si>
    <t xml:space="preserve">Model assumption; general offshore wind interconnection cost literature (NREL/LBNL offshore wind cost benchmarks); context: Utility Dive reports full deliverability 'depends on transmission upgrades in PJM'</t>
  </si>
  <si>
    <t xml:space="preserve">New Solar (Scenario 1)</t>
  </si>
  <si>
    <t xml:space="preserve">New utility solar CAPEX (2026, $/kW-AC)</t>
  </si>
  <si>
    <t xml:space="preserve">$1,474/kW</t>
  </si>
  <si>
    <t xml:space="preserve">Declining at 1.5%/yr real per NREL ATB moderate-case trend. Base value derived from Lazard Low/High cases ($1,150/kW @ 30% CF; $1,600/kW @ 20% CF) linearly interpolated to VA's actual blended capacity factor (22.8%, from this model's own PVWatts data). Corroborated by NREL ATB 2024 base year ($1.43/WAC in 2022, single-axis tracking) projected to 2026.</t>
  </si>
  <si>
    <t xml:space="preserve">Lazard LCOE+ v18.0 (June 2025), interpolated to VA capacity factor; corroborated by NREL ATB 2024 -- see Scenario1 cell comment for full derivation</t>
  </si>
  <si>
    <t xml:space="preserve">Real capital cost decline rate</t>
  </si>
  <si>
    <t xml:space="preserve">1.5%/yr</t>
  </si>
  <si>
    <t xml:space="preserve">NREL ATB moderate-scenario-style decline assumption</t>
  </si>
  <si>
    <t xml:space="preserve">Storage — Sodium-ion (short-duration)</t>
  </si>
  <si>
    <t xml:space="preserve">2026 system CAPEX ($/kWh)</t>
  </si>
  <si>
    <t xml:space="preserve">$97.50/kWh</t>
  </si>
  <si>
    <t xml:space="preserve">Proxy: 'near cost parity with LFP Li-ion today' (ESS-News/ScienceDirect); LFP system cost benchmark $85-110/kWh, midpoint used.</t>
  </si>
  <si>
    <t xml:space="preserve">Kucher et al., 'Sodium-ion battery cost projections and their impact on the global energy system transition until 2050,' ScienceDirect (2025/2026); cross-referenced against energy-solutions.co LFP benchmark table</t>
  </si>
  <si>
    <t xml:space="preserve">2050 system CAPEX ($/kWh)</t>
  </si>
  <si>
    <t xml:space="preserve">$43.40/kWh</t>
  </si>
  <si>
    <t xml:space="preserve">Paper's own projected utility-scale battery system capex range: EUR28.5-51.9/kWh by 2050 (~EUR40.2 midpoint), converted at ~1.08 USD/EUR.</t>
  </si>
  <si>
    <t xml:space="preserve">Same ScienceDirect paper</t>
  </si>
  <si>
    <t xml:space="preserve">Assumed duration</t>
  </si>
  <si>
    <t xml:space="preserve">6 hours</t>
  </si>
  <si>
    <t xml:space="preserve">Per your instruction to use a mix of durations aside from 4 hours; sodium-ion targets the daily-cycling/short-duration role (paper notes SIB competitive for stationary/daily-cycling applications).</t>
  </si>
  <si>
    <t xml:space="preserve">Model assumption, informed by source</t>
  </si>
  <si>
    <t xml:space="preserve">Cost decline shape 2026-2050</t>
  </si>
  <si>
    <t xml:space="preserve">Exponential, smooth</t>
  </si>
  <si>
    <t xml:space="preserve">Interpolated exponential decline from 2026 to 2050 anchor values (not the 1/4-factor rule, which is applied to iron-air specifically per your instruction).</t>
  </si>
  <si>
    <t xml:space="preserve">Model methodology</t>
  </si>
  <si>
    <t xml:space="preserve">Round-trip efficiency</t>
  </si>
  <si>
    <t xml:space="preserve">90%</t>
  </si>
  <si>
    <t xml:space="preserve">Model parameter (NA_RTE_CHARGE in lp_model.py) used in every hourly LP solve -- charge-side round-trip efficiency, consistent with typical lithium-ion-class battery chemistry benchmarks.</t>
  </si>
  <si>
    <t xml:space="preserve">Model assumption -- general Li-ion-class storage benchmark, not sodium-ion-specific primary sourcing</t>
  </si>
  <si>
    <t xml:space="preserve">Storage — Iron-air (long-duration/LDES)</t>
  </si>
  <si>
    <t xml:space="preserve">2026 turnkey system CAPEX ($/kWh)</t>
  </si>
  <si>
    <t xml:space="preserve">$52.50/kWh</t>
  </si>
  <si>
    <t xml:space="preserve">Midpoint of Form Energy-based 'turnkey system cost (2026)' range of $45-60/kWh.</t>
  </si>
  <si>
    <t xml:space="preserve">Energy Solutions Intelligence, 'Iron-Air Batteries 2026: 100-Hour Storage at Under $20/kWh,' July 2026 (energy-solutions.co)</t>
  </si>
  <si>
    <t xml:space="preserve">Cost decline rule</t>
  </si>
  <si>
    <t xml:space="preserve">Exponential decline to 1/4 of 2026 value by 2050</t>
  </si>
  <si>
    <t xml:space="preserve">Per your explicit instruction. 2050 value = $52.50/4 = $13.13/kWh. Note: the source article's OWN roadmap is more front-loaded (cost 'approaching $15/kWh' already by its 2030 milestone) — the smooth 2026-2050 exponential-to-1/4 path used here is more gradual than the source's own trajectory; flagged for transparency.</t>
  </si>
  <si>
    <t xml:space="preserve">Same source; formula = 2026 value x (0.25)^((year-2026)/24)</t>
  </si>
  <si>
    <t xml:space="preserve">100 hours</t>
  </si>
  <si>
    <t xml:space="preserve">Per source: Form Energy systems target 100+ hour continuous discharge; Dominion Energy itself has a 5MW/500MWh (100-hr) iron-air pilot slated for 2027.</t>
  </si>
  <si>
    <t xml:space="preserve">Same source</t>
  </si>
  <si>
    <t xml:space="preserve">Round-trip efficiency -- ACTUAL VALUE USED</t>
  </si>
  <si>
    <t xml:space="preserve">80% (was shown as 40-50% informational, now corrected)</t>
  </si>
  <si>
    <t xml:space="preserve">CORRECTED: the source material's own round-trip efficiency figure (40-50%) was previously shown here marked 'informational; not separately modeled' -- but this was misleading. The model's actual FE_RTE_CHARGE parameter (used in every hourly LP solve, via iron_air_rte(2044.5) in lp_model.py) is 80%, a materially different, real dispatch parameter -- not merely informational. The 40-50% source figure and the 80% model parameter are NOT the same number; this row previously implied the lower figure was simply unused, when in fact a different, higher figure was driving every solve without being disclosed here.</t>
  </si>
  <si>
    <t xml:space="preserve">Model parameter (lp_model.py, iron_air_rte function) -- see code for the underlying assumption; NOT independently re-derived from the original Form Energy source material for this specific figure</t>
  </si>
  <si>
    <t xml:space="preserve">Storage — Technology mix</t>
  </si>
  <si>
    <t xml:space="preserve">Short-duration (sodium-ion) vs. long-duration (iron-air) split</t>
  </si>
  <si>
    <t xml:space="preserve">82.1% / 17.9%</t>
  </si>
  <si>
    <t xml:space="preserve">Derived directly from the 2026-enacted VCEA storage split: 16,000 MW short-duration / 4,000 MW LDES (Dominion, CORRECTED from an earlier 3,480 MW figure per Va. Code 56-585.5(E)(4)) = 80.0%/20.0%. Applied consistently to Scenario 1/1B's co-located storage and Scenario 2's VCEA-minimum storage build.</t>
  </si>
  <si>
    <t xml:space="preserve">Ratio derived from Va. Code 56-585.5(E)(4), 2026-enacted (HB895/SB448)</t>
  </si>
  <si>
    <t xml:space="preserve">Fixed O&amp;M (both sodium-ion and iron-air)</t>
  </si>
  <si>
    <t xml:space="preserve">2.5% of CAPEX/yr</t>
  </si>
  <si>
    <t xml:space="preserve">Model parameter (STOR_FOM_PCT in lp_model.py), applied uniformly to both storage technologies -- same rate multiplies each technology's own energy CAPEX. Confirmed via direct code inspection to apply identically to both, not technology-specific.</t>
  </si>
  <si>
    <t xml:space="preserve">Model assumption -- general storage O&amp;M benchmark, not independently sourced per technology</t>
  </si>
  <si>
    <t xml:space="preserve">Storage — Bath County Pumped Hydro (existing)</t>
  </si>
  <si>
    <t xml:space="preserve">Nameplate capacity</t>
  </si>
  <si>
    <t xml:space="preserve">3,000 MW</t>
  </si>
  <si>
    <t xml:space="preserve">Existing Dominion pumped-storage hydroelectric facility (widely reported as the world's largest pumped-storage facility by generating capacity); modeled as a fixed, already-built resource, not part of any scenario's new-build decision.</t>
  </si>
  <si>
    <t xml:space="preserve">Model assumption -- round-number figure close to Bath County's publicly reported ~3,003 MW nameplate; not independently re-verified against a specific primary source in this project.</t>
  </si>
  <si>
    <t xml:space="preserve">Energy capacity (duration)</t>
  </si>
  <si>
    <t xml:space="preserve">24,000 MWh (8-hr duration at full output)</t>
  </si>
  <si>
    <t xml:space="preserve">Model assumption, NOT precisely sourced -- a round-number (3,000 MW x 8 hr) figure, not independently verified against Dominion's own published reservoir-capacity data for this project.</t>
  </si>
  <si>
    <t xml:space="preserve">Model assumption; flagged as unverified -- see note</t>
  </si>
  <si>
    <t xml:space="preserve">Round-trip efficiency (charge side)</t>
  </si>
  <si>
    <t xml:space="preserve">80%</t>
  </si>
  <si>
    <t xml:space="preserve">Typical, widely-cited pumped-hydro round-trip efficiency range (70-85%); 80% used as a reasonable midpoint, not Bath-County-specific.</t>
  </si>
  <si>
    <t xml:space="preserve">Model assumption, general pumped-hydro industry benchmark</t>
  </si>
  <si>
    <t xml:space="preserve">Transmission</t>
  </si>
  <si>
    <t xml:space="preserve">New solar+storage interconnection CAPEX ($/kW-AC)</t>
  </si>
  <si>
    <t xml:space="preserve">$180/kW</t>
  </si>
  <si>
    <t xml:space="preserve">General network-upgrade-cost benchmark for congested/PJM-adjacent interconnection; NOT a Dominion-specific published figure — Dominion's actual interconnection costs are project-specific and not publicly tabulated at this granularity.</t>
  </si>
  <si>
    <t xml:space="preserve">Model assumption, informed by general LBNL interconnection cost studies for congested regions</t>
  </si>
  <si>
    <t xml:space="preserve">Wholesale Market / VPP</t>
  </si>
  <si>
    <t xml:space="preserve">Average PJM wholesale (LMP) price</t>
  </si>
  <si>
    <t xml:space="preserve">$45/MWh</t>
  </si>
  <si>
    <t xml:space="preserve">EIA's own summer 2026 forecast average.</t>
  </si>
  <si>
    <t xml:space="preserve">EIA Short-Term Energy Outlook, July 2026</t>
  </si>
  <si>
    <t xml:space="preserve">Midday/solar-hours price discount factor</t>
  </si>
  <si>
    <t xml:space="preserve">0.60x</t>
  </si>
  <si>
    <t xml:space="preserve">Reflects 'duck curve' price suppression — solar's own output is concentrated in the lowest-price midday hours.</t>
  </si>
  <si>
    <t xml:space="preserve">Model assumption, standard solar 'value deflation' phenomenon documented in NREL/LBNL solar value reports</t>
  </si>
  <si>
    <t xml:space="preserve">PJM capacity price, 2026-2027 (plateau)</t>
  </si>
  <si>
    <t xml:space="preserve">$121,000/MW-yr</t>
  </si>
  <si>
    <t xml:space="preserve">~$329-333/MW-day; FERC-imposed price cap for the 2026/27 and 2027/28 Base Residual Auctions.</t>
  </si>
  <si>
    <t xml:space="preserve">PJM/Utility Dive/Enel North America coverage of 2026/27 and 2027/28 BRA results (auctions held July and Dec 2025)</t>
  </si>
  <si>
    <t xml:space="preserve">PJM capacity price, 2035 (long-run, real)</t>
  </si>
  <si>
    <t xml:space="preserve">$75,000/MW-yr</t>
  </si>
  <si>
    <t xml:space="preserve">Judgment-based normalization as new supply (incl. this very buildout) catches up with demand growth; well below the current administrative cap, roughly near pre-2025 'normal' levels adjusted for the tighter reserve margins now built into PJM's market.</t>
  </si>
  <si>
    <t xml:space="preserve">Model assumption — genuine structural uncertainty; see README limitation #2</t>
  </si>
  <si>
    <t xml:space="preserve">Wholesale Market / VPP -- energy export price, RE-CORRECTED (2026-08-19)</t>
  </si>
  <si>
    <t xml:space="preserve">Export price: $27.00/MWh (was $37.80/MWh; briefly $27/MWh, $63.00/MWh -- see full history in D50)</t>
  </si>
  <si>
    <t xml:space="preserve">$45/MWh EIA avg LMP x 0.60 midday discount (1.40x DOM-zone premium REMOVED -- see D50)</t>
  </si>
  <si>
    <t xml:space="preserve">Re-corrected on direct user challenge to the 1.40x DOM-zone premium's applicability to EXPORT (not import) pricing. The premium is a buy-side, import-scarcity signal (what DOM pays to import ~20% of its electricity under supply-constrained conditions) -- applying it to the reverse transaction (DOM selling surplus out) plausibly gets the price DIRECTION backwards, not just the magnitude: the same transmission-congestion mechanism that raises import prices for a constrained zone would be expected to depress its export prices, consistent with this model's own 5,000 MW/hr export cap. Reinforced by a second, independent consideration: DOM's neighboring PJM-interconnected states (NC, NJ, MD, DE, PA) each have their own solar-heavy RPS targets, so their solar output is weather-correlated with DOM's -- likely competing SELLERS, not scarcity-driven buyers, at the same surplus hours. A specific counter-consideration (LBNL 2025 solar "value factor" data showing PJM slightly ABOVE 100% in 2024, i.e. solar profile currently HELPS not hurts captured value) was checked directly and set aside as a current-penetration snapshot not representative of this project's much higher projected future solar buildout. Net: $45 x 0.60 = $27.00/MWh -- numerically identical to this model's original pre-correction figure, reached via a different, export-specific reasoning chain. Full citation trail: Virginia_Grid_Analysis_Tracker_updated.xlsx, Citations tab, IDs C071-C073. Full narrative: Reorganized_Appendices_Draft.md, Appendix B.5 and M.10.</t>
  </si>
  <si>
    <t xml:space="preserve">EIA STEO (C073); user-identified directional correction, 2026-08-19; LBNL 2025 Utility-Scale Solar Data Update (C072), checked and not adopted</t>
  </si>
  <si>
    <t xml:space="preserve">FERC Order 2222 / DER Aggregation — size thresholds</t>
  </si>
  <si>
    <t xml:space="preserve">Individual DER: no minimum size; max 5 MW per asset at a single premise</t>
  </si>
  <si>
    <t xml:space="preserve">Individual component DERs can be as small as a single rooftop system; ceiling is 5,000 kW per asset per premise.</t>
  </si>
  <si>
    <t xml:space="preserve">Directly explains why Scenario 3's rooftop and parking-lot DG owners (typically single-digit to low-double-digit kW) cannot access wholesale markets on their own -- they are orders of magnitude below any relevant threshold individually, making a third-party aggregator/intermediary a structural necessity, not a business-model choice.</t>
  </si>
  <si>
    <t xml:space="preserve">PJM, 'FERC Order No. 2222 Overview' (pjm.com/-/media/DotCom/committees-groups/subcommittees/disrs/postings/ferc-order-no-2222-overview.pdf), as provided by user</t>
  </si>
  <si>
    <t xml:space="preserve">FERC Order 2222 / DER Aggregation — aggregation minimum</t>
  </si>
  <si>
    <t xml:space="preserve">Total DER Aggregation Resource (DERA): must total &gt;=100 kW (0.1 MW) combined to register and bid via an aggregator</t>
  </si>
  <si>
    <t xml:space="preserve">Smaller individual units must bundle with other resources to clear this floor.</t>
  </si>
  <si>
    <t xml:space="preserve">This is the specific rule that makes aggregation mandatory (not optional) for essentially all of Scenario 3's DG owners to ever reach true PJM wholesale market participation -- reinforces why the model treats compensation as flowing through an aggregator/utility-administered mechanism rather than direct wholesale bidding by individual owners.</t>
  </si>
  <si>
    <t xml:space="preserve">Same PJM Order 2222 Overview document</t>
  </si>
  <si>
    <t xml:space="preserve">FERC Order 2222 / DER Aggregation — timeline</t>
  </si>
  <si>
    <t xml:space="preserve">PJM DERA wholesale participation: energy &amp; ancillary services from Feb 1, 2028; capacity from the 2028/2029 Base Residual Auction</t>
  </si>
  <si>
    <t xml:space="preserve">Not yet available at any aggregation size as of this model's baseline year (2026).</t>
  </si>
  <si>
    <t xml:space="preserve">Critical for correctly interpreting the Sunrun/Tesla/Renew Home 16.8 GW VPP program (300 MW already live in Northern Virginia's 'Data Center Alley' as of mid-2026, selling directly to hyperscale data centers) -- since that program is operating roughly two years before Order 2222 wholesale participation opens, it is almost certainly NOT using the PJM DERA wholesale pathway at all, but rather a private bilateral commercial contract that requires no FERC/PJM market-participation authorization. See the three-pathway distinction below.</t>
  </si>
  <si>
    <t xml:space="preserve">FERC Order 2222 / DER Aggregation — three distinct commercial pathways</t>
  </si>
  <si>
    <t xml:space="preserve">This model uses Pathway 1 exclusively; Pathways 2 and 3 are NOT modeled</t>
  </si>
  <si>
    <t xml:space="preserve">Pathway 1: utility-administered tariff (PTR, thermostat rewards, hypothetical LSRV/DRV/Recommended Program) -- available now, does not touch Order 2222. Pathway 2: private bilateral contract, e.g. Sunrun/Tesla/Renew Home direct sale to hyperscalers -- also available now, also does not touch Order 2222. Pathway 3: true PJM wholesale DERA participation (direct energy/capacity/ancillary bidding via a &gt;=100kW aggregation) -- NOT legally available in PJM before Feb 2028 (energy/ancillary) or the 2028/29 BRA (capacity), regardless of how large the aggregation is.</t>
  </si>
  <si>
    <t xml:space="preserve">Everything currently built into Scenario 3 (Section H base case, Section I LSRV, Section J Recommended Program, Section K floor structure) models Pathway 1 specifically. This is a deliberate scope choice, not an oversight -- Pathway 3 is legally unavailable for most of this model's near-term horizon, and Pathway 2's actual Virginia payout economics are not yet publicly disclosed (the Sunrun/Tesla/Renew Home program is too new). A future model update could add Pathway 2 and/or Pathway 3 as additional sensitivities once real payout/market-clearing data exists for either.</t>
  </si>
  <si>
    <t xml:space="preserve">Model scope documentation; PJM Order 2222 Overview; Sunrun/Tesla/Renew Home VPP program coverage, June 2026 (see chat history for full citations)</t>
  </si>
  <si>
    <t xml:space="preserve">Transmission/Interconnection CAPEX, UPDATED</t>
  </si>
  <si>
    <t xml:space="preserve">$200/kW (was $180/kW, unsourced)</t>
  </si>
  <si>
    <t xml:space="preserve">Lawrence Berkeley National Laboratory Queued Up interconnection cost database, large-project (&gt;400MW) solar network-upgrade average</t>
  </si>
  <si>
    <t xml:space="preserve">Cross-validated against two other figures from the same underlying LBNL data: all-project-size median $253/kW (Queued Up 2025 report), and Thunder Said Energy independent aggregation across 3,382 projects, $167/kW for solar specifically. Applied to new solar capacity only, not storage, consistent with how the underlying interconnection-queue data is measured (colocated storage typically shares its solar partner interconnection point). Sanity check against the original (Gemini-derived, now superseded) white-paper draft: applying this newly-sourced $200/kW rate to this model own Scenario 1 incremental new-solar buildout (2026-2050) yields approximately $14.4B, which brackets closely with the original draft independently-derived $13.65B transmission-upgrade figure for the same scenario -- a reassuring cross-validation given the two analyses otherwise differ substantially.</t>
  </si>
  <si>
    <t xml:space="preserve">Lawrence Berkeley National Laboratory, Queued Up interconnection cost database (2025 edition); Thunder Said Energy, aggregated LBNL analysis (Mar 2026)</t>
  </si>
  <si>
    <t xml:space="preserve">DER Transmission-Avoidance Incentive, NEW (Scenario 3 Section E2/J)</t>
  </si>
  <si>
    <t xml:space="preserve">25% DER owner / 75% ratepayer split of avoided transmission cost</t>
  </si>
  <si>
    <t xml:space="preserve">Explicit policy choice per direction, reflecting the Governor affordability priority</t>
  </si>
  <si>
    <t xml:space="preserve">Rooftop/canopy DG (including exurban siting -- malls, warehouses -- bundled with urban/suburban, not separately tracked) avoids the $200/kW LBNL-sourced transmission cost that utility-scale capacity would otherwise require. This is a TRANSFER of an already-existing avoided cost, not new value created from nothing: the 25 percent redirected to DER owners as a Recommended-Program-tier incentive is EXPLICITLY shown as a ratepayer-funded cost on Scenario 3 utility-side memo (not silently left as unstated ratepayer savings), specifically so the trade-off is visible to decision-makers rather than hidden. The 75 percent retained by ratepayers is also shown explicitly. Per-kW incentive rate simplifies to a flat, non-DG-capacity-dependent constant: transmission capex-per-kW x capital recovery factor x 25 percent.</t>
  </si>
  <si>
    <t xml:space="preserve">Policy direction; mechanism modeled analogously to the existing LSRV locational-value adder</t>
  </si>
  <si>
    <t xml:space="preserve">Hourly LP price SHAPE, REPLACED (synthetic -&gt; LP-derived)</t>
  </si>
  <si>
    <t xml:space="preserve">Seasonally-varying shape derived from Scenario 1B own shadow prices, NOT imported real LMP data</t>
  </si>
  <si>
    <t xml:space="preserve">Level unchanged (still $63/MWh mean = $45 EIA x 1.40 DOM premium); only the hour-to-hour SHAPE changed</t>
  </si>
  <si>
    <t xml:space="preserve">Full reasoning documented in hourly/lp_model.py inline (see METHODOLOGY NOTE FOR FUTURE READERS in that file). Summary: importing real 2025-26 LMP data would impose TODAY grid price pattern onto a 2044/45 system with a fundamentally different resource mix -- the standard IRP/production-cost-modeling practice is to derive future price shape from the future system own simulated dispatch (shadow price on the energy-balance constraint), using real LMP data only as a VALIDATION check, not as the primary source. Validation result: winter shows genuine moderate positive correlation with real Loudoun/Tysons/Richmond data (0.58) -- both today real grid and the modeled 2044/45 grid are fundamentally supply-scarcity-driven in winter. Summer shows near-zero correlation (-0.05) -- today real summer evening peak is a thermal-fleet-specific, AC-driven phenomenon that a massively storage-firmed future grid plausibly does not reproduce, since storage economic function is specifically to arbitrage away that kind of price differentiation. This divergence is treated as a genuine, informative finding validating the methodological choice, not an error. LIMITATIONS: derived from Scenario 1B (95%/5% gas) specifically -- Scenario 1 own harder no-gas case could not be solved with reliable duals despite multiple attempts, a disclosed, unresolved gap; duals are HiGHS interior-point estimates (crossover disabled), less precise than crossover-verified duals, with 2.01 percent of hours winsorized as outliers; reflects supply-side storage smoothing only, no demand-side load-shifting (Scenario 1B has no DSM mechanism); assumes perfect foresight, not real forecast uncertainty. Existing solved Scenario1B/Scenario3B tabs used the OLD synthetic shape and have NOT been re-solved against this new shape as of this entry -- see chat history for status.</t>
  </si>
  <si>
    <t xml:space="preserve">Derived internally from this project own Scenario 1B LP solve; validated against real PJM DataMiner hourly LMP for Loudoun/Tysons/Richmond nodes, Jan 2025-Aug 2026</t>
  </si>
  <si>
    <t xml:space="preserve">Scenario 2 — CCGT turbine lead-time risk, NOT quantitatively modeled</t>
  </si>
  <si>
    <t xml:space="preserve">Order-to-delivery lead time</t>
  </si>
  <si>
    <t xml:space="preserve">3-7 years depending on turbine frame and order-queue position</t>
  </si>
  <si>
    <t xml:space="preserve">As of 2025/2026: EPRI's Bobby Noble quotes 5-7 years for orders placed now; E-Cubed's Paul Sotkiewicz quotes '3 to 4 years... if you are not already in the queue.' Root cause: global gas turbine orders reached 110 GW by end-2025 against global manufacturing capacity of only 60-70 GW (Wood Mackenzie), with order books already sold through 2027 and hot-section/single-crystal-blade manufacturing as the binding bottleneck (only a handful of global suppliers can produce these components at scale). Scenario 2's build-out formulas (ccgt_need_mw / ccgt_units / ccgt_cap) size and deploy CCGT capacity in the SAME year it's needed -- i.e. they implicitly assume instant turbine availability, which is now a materially unrealistic assumption. A real-world build-out would need to place orders years ahead of need, and any capacity ordered late would face a multi-year deliverability gap requiring bridging supply (more gas, or unserved demand) during the wait. This risk is flagged prominently on the Scenario2 tab itself but is NOT quantified in the SLCOE -- doing so rigorously would require a phased/delayed-deployment build-out model, which has not been built. Directionally, this means Scenario 2's SLCOE is likely UNDERSTATED beyond just the capex correction above.</t>
  </si>
  <si>
    <t xml:space="preserve">S&amp;P Global Platts (same article, May 2025, quoting EPRI and E-Cubed Policy Associates); Wood Mackenzie (same report, Apr 2026)</t>
  </si>
  <si>
    <t xml:space="preserve">Wholesale Market / VPP — methodology validation</t>
  </si>
  <si>
    <t xml:space="preserve">DOM zone is the correct/best available Virginia-specific price signal for this model</t>
  </si>
  <si>
    <t xml:space="preserve">Confirmed by real market data, not just a modeling default</t>
  </si>
  <si>
    <t xml:space="preserve">Two findings validate the choice to use DOM-zone-specific data throughout this model rather than a PJM-RTO-wide average: (1) PJM's own Operating Reserve Demand Curve (ORDC) -- the mechanism that sets scarcity/shortage pricing, with penalty factors up to $850/MWh and LMPs able to reach the $2,000/MWh energy offer cap during shortage -- is explicitly calibrated using '24 fixed ORDCs for six daily time blocks across four seasons based on empirical distributions of historical uncertainties in load, wind, solar, forced outages, and net interchange' (Tribulski et al. 2018, as cited in the academic 'dynamic ORDC' literature). This means PJM's actual price-formation mechanism already structurally embeds the load-vs-clean-generation-availability joint scarcity logic this model has been using as an analytical construct -- it is not a novel framing being imposed on the market, it reflects how the market is already designed to price. (2) DOM has priced above the PJM-RTO average every year from 2021-2025, with the premium structurally widening (not closing when broader PJM prices corrected after the 2022 Ukraine/LNG shock) -- currently running approximately 40% above the RTO-wide average, driven by data-center load outgrowing available transmission. This confirms DOM-zone data captures real, growing, Virginia-specific scarcity that a broader PJM average would dilute or hide entirely.</t>
  </si>
  <si>
    <t xml:space="preserve">PJM 'Reserve and Energy Scarcity Pricing' shortage pricing fact sheet; Tribulski et al. 2018 (cited in dynamic-ORDC academic literature, ScienceDirect 2020); Amperon, 'Why Virginia Data Centers Matter to All of PJM' (current market commentary)</t>
  </si>
  <si>
    <t xml:space="preserve">Further precision available but not implemented: nodal (not zonal) pricing near data-center-alley congestion</t>
  </si>
  <si>
    <t xml:space="preserve">Noted as a future-work option, not built into this model</t>
  </si>
  <si>
    <t xml:space="preserve">PJM prices over 10,000 individual nodes; 'data center alley' (the Ashburn/Loudoun corridor) is explicitly documented as a persistent, well-understood congestion hotspot distinct from the DOM zonal average. Node-specific LMP near this corridor would likely show an even sharper congestion premium than DOM's zone-wide figure, particularly during constraint events (basis differences reported as running tens of dollars/MWh routinely and hundreds during constraint events). This model uses zonal (DOM) data throughout, which is the right zonal-level choice, but a Loudoun-specific nodal refinement remains a genuine further-precision option for future work, not yet implemented.</t>
  </si>
  <si>
    <t xml:space="preserve">PowerDev PJM real-time market dashboard documentation; GridStatus.io, 'Analyzing LMPs with a Nodal Price Map'</t>
  </si>
  <si>
    <t xml:space="preserve">Capacity accreditation (ELCC): solar / storage, 2026 -&gt; 2050</t>
  </si>
  <si>
    <t xml:space="preserve">Solar: 11% -&gt; 1.8% | Storage: 50% -&gt; 20%</t>
  </si>
  <si>
    <t xml:space="preserve">UPDATED (was flat illustrative 40%/95%): now a declining schedule anchored to PJM's actual published 2026/27 BRA class ratings (Tracking Solar 11%, 4-Hour Storage 50%), extended forward using NREL's national relative solar-decline trajectory and Ascend Analytics' independent finding that PJM 4-hr storage ELCC can fall to ~20% within a single near-term penetration scenario. Existing solar uses the same schedule as new solar (same technology).</t>
  </si>
  <si>
    <t xml:space="preserve">PJM, 'Public 2026/27 BRA IRM, FPR, and ELCC Class Ratings' (Mar 2025); NREL capacity-credit report (docs.nrel.gov/docs/fy25osti/89587.pdf); Ascend Analytics, 'ELCC Analysis Informs PJM Investment Strategies' blog</t>
  </si>
  <si>
    <t xml:space="preserve">Gas (Scenario 2)</t>
  </si>
  <si>
    <t xml:space="preserve">CCGT unit size</t>
  </si>
  <si>
    <t xml:space="preserve">1,200 MW</t>
  </si>
  <si>
    <t xml:space="preserve">Per user specification.</t>
  </si>
  <si>
    <t xml:space="preserve">User-specified</t>
  </si>
  <si>
    <t xml:space="preserve">CCGT capacity factor</t>
  </si>
  <si>
    <t xml:space="preserve">65%</t>
  </si>
  <si>
    <t xml:space="preserve">CCGT CAPEX</t>
  </si>
  <si>
    <t xml:space="preserve">$2,400/kW (was $1,200/kW)</t>
  </si>
  <si>
    <t xml:space="preserve">The prior $1,200/kW figure was a stale pre-2023-vintage EIA/NREL ATB benchmark that does not reflect the severe gas-turbine supply/demand imbalance that has emerged since, driven overwhelmingly by data-center electrification. Paul Sotkiewicz (former PJM Interconnection chief economist, now president of E-Cubed Policy Associates) stated directly in May 2025 that 'a new GE H-class combined-cycle facility would cost about $2,400/kW,' and separately that doing 'the same kind of unit that had been built a few years back... would be two and a half times more today.' This figure was independently cross-validated: Wood Mackenzie's April 2026 turbine-market report finds turbine-only prices reaching $600/kW by end-2027 (a 195% increase since 2019), and states turbines represent 20-30% of total combined-cycle project cost -- backing out an implied total plant cost of $2,000-3,000/kW (exactly $2,400/kW at the 25% midpoint), independently landing on the same figure as Sotkiewicz's direct quote. Both sources agree prices are still RISING, not stabilizing, through at least 2027.</t>
  </si>
  <si>
    <t xml:space="preserve">S&amp;P Global Platts, 'US gas-fired turbine wait times as much as seven years; costs up sharply' (May 20, 2025); Wood Mackenzie, 'Gas turbine prices soar 195% as market faces supply-demand crisis' (Apr 1, 2026)</t>
  </si>
  <si>
    <t xml:space="preserve">CCGT heat rate</t>
  </si>
  <si>
    <t xml:space="preserve">6.4 MMBtu/MWh</t>
  </si>
  <si>
    <t xml:space="preserve">~53% efficiency, typical modern H-class CCGT.</t>
  </si>
  <si>
    <t xml:space="preserve">General industry/EIA benchmark</t>
  </si>
  <si>
    <t xml:space="preserve">CCGT fixed O&amp;M / variable O&amp;M</t>
  </si>
  <si>
    <t xml:space="preserve">$12/kW-yr / $3/MWh</t>
  </si>
  <si>
    <t xml:space="preserve">Typical CCGT benchmarks.</t>
  </si>
  <si>
    <t xml:space="preserve">General EIA/NREL ATB CCGT O&amp;M benchmark</t>
  </si>
  <si>
    <t xml:space="preserve">Henry Hub gas price, 2026 (actual/forecast)</t>
  </si>
  <si>
    <t xml:space="preserve">$3.70/MMBtu</t>
  </si>
  <si>
    <t xml:space="preserve">EIA's own near-term forecast.</t>
  </si>
  <si>
    <t xml:space="preserve">EIA Short-Term Energy Outlook, July 2026 (release date July 7, 2026)</t>
  </si>
  <si>
    <t xml:space="preserve">Gas price LOW case (EIA), 2030 / 2040 / 2050</t>
  </si>
  <si>
    <t xml:space="preserve">$3.80 / $4.20 / $4.95/MMBtu</t>
  </si>
  <si>
    <t xml:space="preserve">EIA long-term reference-case-style trajectory; driven mainly by rising LNG export demand and flat-to-growing production (Permian-led), NOT by physical resource depletion — no mainstream forecaster reviewed models US gas supply depletion within 25 years.</t>
  </si>
  <si>
    <t xml:space="preserve">Secondary aggregator (naga.com) citing EIA's long-term outlook; directionally consistent with typical AEO reference-case escalation — treat as illustrative, not a verbatim EIA AEO table value</t>
  </si>
  <si>
    <t xml:space="preserve">Gas price MEDIUM case (Deloitte) -- used for headline SLCOE, 2030 / 2040 / 2050</t>
  </si>
  <si>
    <t xml:space="preserve">$5.40 / $6.35 / $7.50/MMBtu</t>
  </si>
  <si>
    <t xml:space="preserve">Requested sensitivity reflecting elevated long-term supply-tightness/depletion-risk assumptions. 2030/2040 values are Deloitte's more bullish published forecast (LNG demand from Asia/Europe + data-center power needs outpacing supply); 2050 value is a straight-line model extrapolation, not a cited Deloitte figure.</t>
  </si>
  <si>
    <t xml:space="preserve">Deloitte 2030/2040 figures as reported by naga.com Natural Gas Forecast &amp; Price Predictions 2026; 2050 figure is a model extrapolation</t>
  </si>
  <si>
    <t xml:space="preserve">Gas price case used for headline SLCOE</t>
  </si>
  <si>
    <t xml:space="preserve">Deloitte trajectory: $3.70 (2026) -&gt; $5.40 (2030) -&gt; $6.35 (2040) -&gt; $7.50 (2050, extrapolated)</t>
  </si>
  <si>
    <t xml:space="preserve">Per your instruction, Deloitte's forecast (previously labeled the 'HIGH/peak-gas' sensitivity) is now THE base case. The former EIA-anchored path is retained in the model only as a labeled reference/lower-bound sensitivity, not used in the headline SLCOE.</t>
  </si>
  <si>
    <t xml:space="preserve">Deloitte 2030/2040 figures as reported by naga.com Natural Gas Forecast &amp; Price Predictions 2026; 2050 is a model extrapolation (unchanged from prior version)</t>
  </si>
  <si>
    <t xml:space="preserve">VCEA/RPS Statutory Minimums (Scenario 2)</t>
  </si>
  <si>
    <t xml:space="preserve">Solar + onshore wind target by 2035</t>
  </si>
  <si>
    <t xml:space="preserve">16,100 MW</t>
  </si>
  <si>
    <t xml:space="preserve">Must include 1,100 MW of distributed solar (&lt;=3MW projects); 35% must be non-utility-owned.</t>
  </si>
  <si>
    <t xml:space="preserve">Va. Code §56-585.5(D)(2), as codified</t>
  </si>
  <si>
    <t xml:space="preserve">CONFIRMED STALE: current buildout uses simple straight-line ramp, not statute's actual interim milestones</t>
  </si>
  <si>
    <t xml:space="preserve">2027: 6,000 MW (ours: 1,789); 2030: 10,000 MW (ours: 7,156)</t>
  </si>
  <si>
    <t xml:space="preserve">Offshore wind 'public interest' declaration</t>
  </si>
  <si>
    <t xml:space="preserve">5,200 MW by 2035</t>
  </si>
  <si>
    <t xml:space="preserve">Not included in Scenario 2's supply stack per the user's scenario description (Scenario 2 = solar+storage minimum + CCGT only); CVOW (2.6 GW of this 5.2 GW) appears only in Scenario 1.</t>
  </si>
  <si>
    <t xml:space="preserve">Va. Code §56-585.5(D)(2); CCAN Action Fund VCEA fact sheet</t>
  </si>
  <si>
    <t xml:space="preserve">Energy storage target (Dominion) actually used in Scenario 2</t>
  </si>
  <si>
    <t xml:space="preserve">16,000 MW short-duration + 4,000 MW LDES by 2045</t>
  </si>
  <si>
    <t xml:space="preserve">CORRECTED: Scenario 2 uses the 2026-enacted targets (this row), NOT the original 2,700 MW-by-2035 floor described in an earlier version of this model. LDES figure corrected from an earlier 3,480 MW to the confirmed 4,000 MW per Va. Code 56-585.5(E)(4).</t>
  </si>
  <si>
    <t xml:space="preserve">Va. Dept. of Planning &amp; Budget, 2026 General Assembly fiscal impact statement (HB895/SB448); Williams Mullen legal alert, May 2026; Va. Code 56-585.5(E)(4)</t>
  </si>
  <si>
    <t xml:space="preserve">ASSUMPTION: statutory 'petitioned for' storage milestone treated as installed capacity</t>
  </si>
  <si>
    <t xml:space="preserve">4,000 MW by 2030 (ours: 3,368 MW, gap ~632 MW)</t>
  </si>
  <si>
    <t xml:space="preserve">Combined Dominion total (short + LDES)</t>
  </si>
  <si>
    <t xml:space="preserve">20,000 MW by 2045</t>
  </si>
  <si>
    <t xml:space="preserve">This is a ~7.2x increase over the original 2,700 MW target — NOT a doubling. (Statewide combined Dominion+APCo total is reported elsewhere as ~21,000 MW.) Flagging this because the request described it as 'doubled'; using the correct enacted figures per your instruction to 'use the 2026 amount.'</t>
  </si>
  <si>
    <t xml:space="preserve">Va. Dept. of Planning &amp; Budget fiscal impact statement; Virginia Center for Investigative Journalism/WHRO, July 2026 ('sevenfold buildout from the 3,100 MW initially required')</t>
  </si>
  <si>
    <t xml:space="preserve">Hourly LP Model Mechanics</t>
  </si>
  <si>
    <t xml:space="preserve">Unserved-energy shadow penalty</t>
  </si>
  <si>
    <t xml:space="preserve">$100,000/MWh</t>
  </si>
  <si>
    <t xml:space="preserve">Used throughout every hourly LP solve to represent the cost of failing to serve demand -- makes the model always prefer meeting load over any feasible alternative, while keeping the problem solvable rather than hard-infeasible when a fixed design genuinely cannot meet a test year's demand.</t>
  </si>
  <si>
    <t xml:space="preserve">Model parameter (UNSERVED_PENALTY in lp_model.py), matching literature convention (e.g. "Preparing for the Worst," 2025)</t>
  </si>
  <si>
    <t xml:space="preserve">Export/transmission cap</t>
  </si>
  <si>
    <t xml:space="preserve">5,000 MW</t>
  </si>
  <si>
    <t xml:space="preserve">Finite limit on how much surplus clean generation can be exported/sold in any hour, used throughout the hourly LP. This is a modeling assumption to resolve solver degeneracy (unbounded arbitrage from a finite export price against unlimited volume), NOT a Dominion-specific transmission study figure -- see Appendix A for the disclosed limitation and the finding that this cap is saturated (&gt;4,900 of 5,000 MW) in 82% of hours in at least one tested checkpoint.</t>
  </si>
  <si>
    <t xml:space="preserve">Model assumption (EXPORT_CAP_MW in lp_model.py); see Appendix A for full disclosure</t>
  </si>
  <si>
    <t xml:space="preserve">Scenario 2 export capability</t>
  </si>
  <si>
    <t xml:space="preserve">Disabled (bounded to zero)</t>
  </si>
  <si>
    <t xml:space="preserve">Scenario 2's CCGT exists to serve Dominion's own load-serving-entity demand, not to operate as a merchant exporter. An earlier version of this solve carried over Scenario 1/3's export mechanism without reconsidering fit -- diagnosed and corrected after finding gas dispatch was identical regardless of demand or clean capacity (the tell of pure arbitrage), confirmed via zero curtailment even with export disabled (ruling out genuine overgeneration). Gas dispatch dropped 40-53% after the fix.</t>
  </si>
  <si>
    <t xml:space="preserve">Model correction, documented fully in the Scenario2_Base tab's own methodology note</t>
  </si>
  <si>
    <t xml:space="preserve">Gas fuel cost, Scenario 1/3/1B/3B (flat rate)</t>
  </si>
  <si>
    <t xml:space="preserve">$48/MWh</t>
  </si>
  <si>
    <t xml:space="preserve">CONFIRMED STALE, pending replacement -- tracked as its own tracker item (see tracker file). This flat rate approximately matches Deloitte's own 2050 trajectory endpoint ($48.00/MWh at the same 6.4 MMBtu/MWh heat rate Scenario 2 uses), suggesting it was chosen as a rough long-run-average proxy rather than independently derived with the same rigor later built for Scenario 2's time-varying paths. Per user confirmation, all scenarios run gas through 2045, so gas price assumptions should apply consistently across all of them -- this flat rate should eventually be replaced by the same time-varying Deloitte trajectory used in Scenario 2, requiring a re-solve of every Scenario 1/3/1B/3B checkpoint. Deferred pending the broader re-solve.</t>
  </si>
  <si>
    <t xml:space="preserve">Model parameter (GAS_COST_MWH in lp_model.py) -- confirmed stale, not a deliberate simplification</t>
  </si>
  <si>
    <t xml:space="preserve">Distributed Ownership (Scenario 3)</t>
  </si>
  <si>
    <t xml:space="preserve">Ownership split of new solar+storage build</t>
  </si>
  <si>
    <t xml:space="preserve">80% utility / 10% rooftop / 10% parking lot</t>
  </si>
  <si>
    <t xml:space="preserve">Share of rooftop+parking-lot sited in/near urban-suburban high-demand areas</t>
  </si>
  <si>
    <t xml:space="preserve">Rooftop solar installed cost (blended resi/C&amp;I)</t>
  </si>
  <si>
    <t xml:space="preserve">$2.20/W</t>
  </si>
  <si>
    <t xml:space="preserve">Blend: 60% residential @ ~$2.60-2.75/W (EnergySage 2026 marketplace average) + 40% small/mid commercial @ ~$1.60/W (NuWatt 2026 mid-tier).</t>
  </si>
  <si>
    <t xml:space="preserve">EnergySage 'Solar Panel Cost In 2026'; NuWatt Energy 'Commercial Solar Cost Guide 2026'</t>
  </si>
  <si>
    <t xml:space="preserve">Parking-lot / carport solar installed cost</t>
  </si>
  <si>
    <t xml:space="preserve">$3.80/W</t>
  </si>
  <si>
    <t xml:space="preserve">Midpoint of the 2026 solar-carport cost range; carports cost more than simple rooftop due to elevated steel/aluminum support structure.</t>
  </si>
  <si>
    <t xml:space="preserve">Solar Permit Solutions 'Solar Carport Costs' guide, 2026 ($3.15-$4.50/W range)</t>
  </si>
  <si>
    <t xml:space="preserve">Residential federal tax credit (Section 25D)</t>
  </si>
  <si>
    <t xml:space="preserve">Expired</t>
  </si>
  <si>
    <t xml:space="preserve">The 30% homeowner-owned residential credit expired for systems placed in service after Dec 31, 2025 (accelerated by the One Big Beautiful Bill Act).</t>
  </si>
  <si>
    <t xml:space="preserve">NRG Clean Power; Solar Permit Solutions, 2026 guides</t>
  </si>
  <si>
    <t xml:space="preserve">Commercial/third-party-owned ITC (Section 48E)</t>
  </si>
  <si>
    <t xml:space="preserve">30% (up to 70% with stackable adders)</t>
  </si>
  <si>
    <t xml:space="preserve">Available to parking-lot/carport (assumed 100% C&amp;I-owned) and to any rooftop system financed via lease/PPA (third-party ownership captures the credit).</t>
  </si>
  <si>
    <t xml:space="preserve">NuWatt Energy 2026 commercial solar guides, citing IRS Section 48/48E post-OBBBA</t>
  </si>
  <si>
    <t xml:space="preserve">Distribution transformer gross upgrade cost</t>
  </si>
  <si>
    <t xml:space="preserve">$120/kW of urban-sited incremental DG</t>
  </si>
  <si>
    <t xml:space="preserve">No fresh, citable Dominion-specific $/kW figure found; reflects general post-2021 industry commentary on elevated distribution-transformer replacement costs and extended lead times amid supply-chain constraints.</t>
  </si>
  <si>
    <t xml:space="preserve">Model assumption — general industry commentary, not independently verified for this session; treat as a placeholder to be replaced with Dominion's own unit-cost data if available</t>
  </si>
  <si>
    <t xml:space="preserve">Remaining book value credit on replaced transformers</t>
  </si>
  <si>
    <t xml:space="preserve">40%</t>
  </si>
  <si>
    <t xml:space="preserve">Assumes replaced units are, on average, mid-life.</t>
  </si>
  <si>
    <t xml:space="preserve">Model assumption</t>
  </si>
  <si>
    <t xml:space="preserve">Social Cost Framework — governance note</t>
  </si>
  <si>
    <t xml:space="preserve">Which EPA vintage of social-cost estimates this model uses</t>
  </si>
  <si>
    <t xml:space="preserve">PRE-January 20, 2025 EPA methodology, used for all calculations</t>
  </si>
  <si>
    <t xml:space="preserve">Executive Order 14154 (Jan 20, 2025) disbanded the Interagency Working Group on Social Cost of Greenhouse Gases and withdrew its estimates as 'no longer representative of governmental policy'; a May 5, 2025 memorandum (M-25-27) directed agencies to stop factoring climate damage into regulatory decisions except where required by statute; EPA's own 2026 economic analyses have separately begun contesting the historical practice of monetizing PM2.5/ozone 'co-benefits.' Per your explicit direction: since Virginia sets its own electric-utility policy within FERC/NERC bounds and is not bound by federal executive-branch social-cost methodology, this model uses the pre-2025, peer-reviewed EPA figures for all calculations, while documenting the post-Jan-2025 change here for transparency. This is a policy choice, not a claim that the post-2025 federal position is incorrect.</t>
  </si>
  <si>
    <t xml:space="preserve">Harvard EELP Social Cost of Carbon Tracker; E.O. 14154; OMB Memorandum M-25-27; RFF 'How the US EPA Got It Wrong About Monetizing Benefits of Air Pollution Regulations' (2026)</t>
  </si>
  <si>
    <t xml:space="preserve">Social Cost Framework — three-tier structure</t>
  </si>
  <si>
    <t xml:space="preserve">Tier 1: Climate impacts (global, long-horizon, diffuse)</t>
  </si>
  <si>
    <t xml:space="preserve">CO2, CH4, N2O -- EPA SC-GHG, Dec 2023 report</t>
  </si>
  <si>
    <t xml:space="preserve">SC-CO2 = $190/ton central (2% discount rate, 2020$), range $140/ton (2.5% discount) to $380/ton (1.5% discount) for 2030 emissions -- this 3-point discount-rate range serves as the built-in Tier-1 sensitivity band. SC-CH4 = $1,600/ton, SC-N2O = $5,400/ton (both also 2% discount, 2020$); included for completeness though diesel backup generators emit negligible CH4/N2O relative to CO2.</t>
  </si>
  <si>
    <t xml:space="preserve">EPA, 'Report on the Social Cost of Greenhouse Gases: Estimates Incorporating Recent Scientific Advances,' Dec 2023</t>
  </si>
  <si>
    <t xml:space="preserve">Tier 2: Regional/local health impacts (near-term, population-density-dependent)</t>
  </si>
  <si>
    <t xml:space="preserve">PM2.5 (direct+secondary), NOx, SO2, ozone (NOx+VOC-formed) -- EPA Benefit-per-Ton</t>
  </si>
  <si>
    <t xml:space="preserve">Uses EPA's 'area source' sector category (small, dispersed, ground-level emitters) as the closest match to distributed backup generators, as opposed to tall-stack centralized power plants: PM2.5 ~\$350,000/ton, SO2 ~\$54,000/ton, NOx ~\$8,600/ton (2016 dollars). Ozone tracked as a separate EPA table column (NOx and VOC as precursors) rather than merged into PM2.5. A population-density multiplier and an event-frequency multiplier (both detailed below) are applied on top of these base figures as the Tier-2 sensitivity dimensions, since these -- not discount rate -- are what actually drive Tier-2 variance.</t>
  </si>
  <si>
    <t xml:space="preserve">EPA BenMAP/COBRA, 'Sector-based PM2.5 and Ozone Benefit Per Ton Estimates'</t>
  </si>
  <si>
    <t xml:space="preserve">Black carbon placement</t>
  </si>
  <si>
    <t xml:space="preserve">Folded into Tier 2 PM2.5 as a toxicity modifier, NOT a separate additive line</t>
  </si>
  <si>
    <t xml:space="preserve">Black carbon is a major component of diesel PM2.5 mass (commonly cited at 60-80% of diesel particulate content, higher than PM2.5 from most other combustion sources) -- it is not an independent emission stream, so treating it as a separate dollar line would double-count the same particles already inside the PM2.5 figure. Instead, BC's presence is treated as a reason the generic (all-source-average) EPA PM2.5 benefit-per-ton figure likely UNDERSTATES true damages for diesel-specific sources specifically -- documented as a directional caveat, not a separate quantified adder.</t>
  </si>
  <si>
    <t xml:space="preserve">General toxicology literature on diesel PM composition and combustion-source PM toxicity; modeling judgment per user direction</t>
  </si>
  <si>
    <t xml:space="preserve">Tier 3: Air toxics / carcinogenic risk (chronic, poorly monetized)</t>
  </si>
  <si>
    <t xml:space="preserve">Diesel exhaust HAPs (Clean Air Act Section 112 category) -- qualitative only, NOT monetized</t>
  </si>
  <si>
    <t xml:space="preserve">Diesel exhaust has been found responsible for &gt;70% of cancer risk from air toxics in California and the broader US (CARB 2000; Ryan et al. 2002, as cited in the Cambodia diesel generator emissions study). Deliberately kept OUT of the Tier 1+2 dollar total and expressed only as excess-cancer-risk-per-million, consistent with how EPA itself treats HAPs (Section 112) separately from criteria pollutants (which have benefit-per-ton monetization) -- bolting a shaky dollar estimate onto an otherwise well-sourced Tier 1/2 total would undermine the credibility of both.</t>
  </si>
  <si>
    <t xml:space="preserve">CARB 2000; Ryan et al. 2002; Sothea &amp; Oanh 2019 (cited via ScienceDirect Cambodia diesel generator emissions study)</t>
  </si>
  <si>
    <t xml:space="preserve">Social Cost Framework — sensitivity dimensions</t>
  </si>
  <si>
    <t xml:space="preserve">Population density multiplier (Tier 2)</t>
  </si>
  <si>
    <t xml:space="preserve">Rural 0.25x / Suburban base 1.0x / Dense (Ashburn-type) 1.75x</t>
  </si>
  <si>
    <t xml:space="preserve">ILLUSTRATIVE, not a precise EPA COBRA/BenMAP county-specific model output -- constructed from the general principle (embedded in EPA's own COBRA methodology) that health damage scales roughly with exposed population, and calibrated to the observed 2-4x spread already visible across EPA's own published sector-based benefit-per-ton table. A rigorous Virginia-specific version would run actual COBRA modeling for Loudoun County vs. a comparison rural Dominion-territory county; that has not been done here.</t>
  </si>
  <si>
    <t xml:space="preserve">Directional inference from EPA COBRA methodology and EPA sector-based BPT table spread; not independently verified via COBRA modeling</t>
  </si>
  <si>
    <t xml:space="preserve">Event frequency/duration multiplier (Tier 2)</t>
  </si>
  <si>
    <t xml:space="preserve">Episodic (current) 1.0x / Sustained (if routine) 10x</t>
  </si>
  <si>
    <t xml:space="preserve">Sourced directly from the UC Irvine grid-disruption public health cost study, which explicitly found that episodic/single-event modeling understates health impacts by roughly an order of magnitude relative to sustained annual exposure. Framed as a live open question for Virginia given PJM's own 20-year load forecast and the documented Jan 2026/July 2026 near-miss pattern -- i.e., whether backup-generator reliance remains occasional or becomes routine over the coming decade.</t>
  </si>
  <si>
    <t xml:space="preserve">APEP UC Irvine, 'Potential Public Health Costs from Air Quality Degradation During Grid Disruption Events'</t>
  </si>
  <si>
    <t xml:space="preserve">Social Cost Framework — presentation principle</t>
  </si>
  <si>
    <t xml:space="preserve">Tier 1 and Tier 2 are reported separately, never pre-blended into one number</t>
  </si>
  <si>
    <t xml:space="preserve">Applies to all citizen/decision-maker-facing summaries</t>
  </si>
  <si>
    <t xml:space="preserve">Climate cost (global, diffuse, long-horizon) and local health cost (concentrated, near-term, population-specific) answer different questions for different audiences -- a legislator weighing statewide climate policy and an Ashburn resident concerned about neighborhood diesel exhaust are legitimately asking about different numbers. Collapsing them into a single blended \$/MWh figure would obscure exactly the distinction that makes this analysis useful. Tier 3 is flagged qualitatively alongside both, never folded into either dollar figure.</t>
  </si>
  <si>
    <t xml:space="preserve">Modeling/presentation judgment per user direction</t>
  </si>
  <si>
    <t xml:space="preserve">Locational Value Adder Sensitivity (Section I) — background</t>
  </si>
  <si>
    <t xml:space="preserve">What this sensitivity represents</t>
  </si>
  <si>
    <t xml:space="preserve">A hypothetical policy lever, NOT current Virginia law</t>
  </si>
  <si>
    <t xml:space="preserve">Virginia's current DER compensation framework (net metering plus, in this model's Scenario 3 base case, wholesale-equivalent VPP energy and PJM-ELCC-based capacity payments) has no equivalent of the 'locational' or 'distribution-deferral' value stream this section models. Several other states DO pay DER owners an explicit extra amount specifically for helping the utility avoid or defer a distribution-capacity investment (new substation, feeder upgrade, etc.) -- this is often called a 'non-wires alternative' (NWA) or 'locational value of DER' (LVDER) payment. Section I asks: if Virginia adopted a comparable mechanism, how much would it change the negative owner-NPV finding from the Section H base case? Nothing in Section H is altered by this -- Section I is purely additive and clearly separated so the two can be compared side by side.</t>
  </si>
  <si>
    <t xml:space="preserve">Model framing, per explicit user request following a comparative review of NY/CA/MA DER incentive design (see below)</t>
  </si>
  <si>
    <t xml:space="preserve">Locational Value Adder Sensitivity (Section I) — why New York's LSRV was chosen as the benchmark</t>
  </si>
  <si>
    <t xml:space="preserve">Comparison of three real state mechanisms considered</t>
  </si>
  <si>
    <t xml:space="preserve">NY VDER (chosen) vs. CA ACC/DIDF vs. MA SMART</t>
  </si>
  <si>
    <t xml:space="preserve">Three structurally different real-world approaches were researched before selecting a benchmark. (1) NEW YORK's 'Value of Distributed Energy Resources' (VDER) tariff, also called the 'Value Stack,' pays DER owners a bill credit built from five separate components: Energy Value, Capacity Value (ICAP), Environmental Value, Demand Reduction Value (DRV), and Locational System Relief Value (LSRV). DRV is broadly available and reflects avoided distribution-capacity costs system-wide; LSRV is a targeted ADDITIONAL payment available only to projects sited within utility-designated grid-constrained substation zones (published on hosting-capacity maps), and is explicitly meant to compensate a DER for deferring a specific, identified distribution investment -- i.e., exactly the 'avoided need for expanded [grid/generating] capacity' benefit you asked about. Notably, VDER also does NOT apply ELCC de-rating to storage capacity value (unlike this model's wholesale/PJM-ELCC treatment), making it more generous on that dimension too, though that difference is NOT separately modeled here. (2) CALIFORNIA has conceptually similar machinery -- a CPUC Avoided Cost Calculator that explicitly prices transmission/distribution capacity value, and a Distribution Investment Deferral Framework (DIDF) where the three major IOUs competitively procure DER specifically to defer identified capital projects -- but this value mostly flows through utility-side competitive procurement contracts, not automatic per-project payments to small owners; individual owner compensation (NEM 3.0's avoided-cost export rate, ~$0.05-0.08/kWh) is actually LOWER than the prior NEM 2.0 retail-rate credit, making California a poor fit for modeling a small-owner-facing locational adder. (3) MASSACHUSETTS' SMART program pays a flat, guaranteed $/kWh production tariff for 20 years with bonus 'adders' for specific project types, including a canopy/parking-lot-specific adder and a storage adder -- structurally simple and directly relevant to this model's segments, but not explicitly tied to avoided distribution-capacity cost the way NY's LSRV is (it is a flat policy incentive, not a locational/marginal-cost-based payment). Given the user's specific framing ('benefit from reducing the need for expanded utility generating capacity'), NY's LSRV was selected as the primary benchmark because it is the only one of the three that is (a) automatically available based on siting location rather than requiring a competitive bid, (b) explicitly and quantifiably tied to deferring a specific distribution investment, and (c) has a clear, current, published per-kW rate.</t>
  </si>
  <si>
    <t xml:space="preserve">NY: NYSERDA VDER Value Stack Resources (nyserda.ny.gov); National Grid VDER-CRED Statement No. 105 (effective Apr 30, 2026); NY DPS Case 15-E-0751; Ascend Analytics 'VDER: New York's Valuable Distributed Energy Generation Opportunity' blog. CA: CPUC Distribution Planning / DIDF pages (cpuc.ca.gov); CPUC DER Cost-Effectiveness / Avoided Cost Calculator pages; E3 'Getting the Price Right for Local DER' whitepaper (ethree.com/lvder-whitepaper), which notes E3 has applied similar local-distribution-value methods in NY, Illinois, and Massachusetts too; exspenditure.com 'California Solar Incentives 2026' (NEM 3.0 export rate figures). MA: nuwattenergy.com 'MA SMART Program Tracker 2026'; viridisenergy.com 'Massachusetts SMART 3.0 Guide 2026'; bostonsolar.us SMART program guides.</t>
  </si>
  <si>
    <t xml:space="preserve">Locational Value Adder Sensitivity (Section I) — exact rate used and how it was derived</t>
  </si>
  <si>
    <t xml:space="preserve">LSRV-style adder rate: $36.864/kW-yr</t>
  </si>
  <si>
    <t xml:space="preserve">$3.072/kW-month x 12 months</t>
  </si>
  <si>
    <t xml:space="preserve">This is NY's actual published LSRV rate for projects that qualified AFTER July 26, 2018 (the more relevant vintage for a forward-looking Virginia buildout, since this model's Scenario 3 capacity is entirely new/future construction, not legacy pre-2018 projects). NY's LSRV rate schedule also has a lower tier ($2.56/kW-month = $30.72/kW-yr) that applies only to projects that qualified ON OR BEFORE July 26, 2018 -- that older, lower tier is NOT used here. The rate is published monthly by each NY utility (this figure sourced from National Grid's Upstate NY VDER-CRED Statement No. 105, effective April 30, 2026) and varies somewhat by utility and by specific substation zone in practice; a single statewide-average-style figure is used here for simplicity rather than modeling Dominion-specific hypothetical substation zones, since Virginia has no such zones defined today. This is therefore explicitly a BENCHMARK/PROXY rate, not a Virginia-specific calculated avoided-cost value -- a rigorous VA-specific version would require Dominion or the SCC to actually calculate a marginal avoided distribution cost for specific constrained circuits, which has not been done and is beyond the scope of this model.</t>
  </si>
  <si>
    <t xml:space="preserve">National Grid, 'VDER-CRED Statement No. 105' (effective April 30, 2026), Upstate NY tariff filing</t>
  </si>
  <si>
    <t xml:space="preserve">Locational Value Adder Sensitivity (Section I) — eligibility and duration assumptions</t>
  </si>
  <si>
    <t xml:space="preserve">10-year duration; applies to 90% of capacity (urban/high-demand-sited share)</t>
  </si>
  <si>
    <t xml:space="preserve">Matches NY's actual 10-year LSRV rate lock-in and this model's existing 90% urban-siting assumption</t>
  </si>
  <si>
    <t xml:space="preserve">NY locks in the LSRV rate for 10 years from a project's qualification date, after which it would be subject to whatever rate schedule is then in effect (not modeled here -- this model conservatively assumes the adder reverts to $0 after year 10 rather than guessing at a renewal rate). The adder is applied only to the 90% of rooftop/parking-lot capacity this model already assumes is sited in or near urban/suburban high-electrical-demand areas (per your original Scenario 3 specification) -- consistent with LSRV's real-world design, which is restricted to specific utility-designated constrained-substation zones, not available fleet-wide. The remaining 10% (non-qualifying siting) receives no adder in this sensitivity, matching how LSRV actually works in NY.</t>
  </si>
  <si>
    <t xml:space="preserve">Modeling assumption applying NY's actual program parameters to this model's existing capacity-siting assumptions</t>
  </si>
  <si>
    <t xml:space="preserve">Locational Value Adder Sensitivity (Section I) — what is deliberately NOT included</t>
  </si>
  <si>
    <t xml:space="preserve">NY's Demand Reduction Value (DRV) is omitted from this sensitivity</t>
  </si>
  <si>
    <t xml:space="preserve">Real-world total value stack impact is likely somewhat UNDERSTATED here, not overstated</t>
  </si>
  <si>
    <t xml:space="preserve">NY's VDER also includes a Demand Reduction Value (DRV) component that is broadly available (not restricted to specific zones) and reflects system-wide avoided distribution-capacity costs -- meaning a real VDER-style framework would likely add value to ALL modeled capacity (both the 90% qualifying and 10% non-qualifying share), not just the 90% captured by this LSRV-style adder. DRV was excluded from this model because the search conducted did not surface a specific, current, published per-kW DRV rate comparable in specificity to the LSRV figure used above (DRV rates are calculated utility-by-utility from detailed marginal cost of service studies and were not readily available as a simple benchmark figure). Similarly, VDER's non-ELCC-derated storage capacity treatment and Massachusetts SMART's canopy-specific and storage-specific per-kWh adders are also not layered in here. This sensitivity should therefore be read as a partial, conservative illustration of the locational-value concept, not a full replication of any state's actual total DER compensation.</t>
  </si>
  <si>
    <t xml:space="preserve">Model limitation, disclosed for transparency</t>
  </si>
  <si>
    <t xml:space="preserve">Demand Forecast (item 36 -- CORRECTED methodology)</t>
  </si>
  <si>
    <t xml:space="preserve">Data center load modeled explicitly, separate from traditional load growth</t>
  </si>
  <si>
    <t xml:space="preserve">9,000 MW DC peak by ~2034; 1%/yr traditional load growth</t>
  </si>
  <si>
    <t xml:space="preserve">DER Wholesale Market Access -- Citizen EV V2G (BYOD pathway)</t>
  </si>
  <si>
    <t xml:space="preserve">F-150 Lightning bidirectional discharge rate</t>
  </si>
  <si>
    <t xml:space="preserve">9.6 kW</t>
  </si>
  <si>
    <t xml:space="preserve">CONFIRMED directly (Ford's own official Intelligent Backup Power announcement, Solar Power World, Feb. 2022): "the F-150 Lightning extended-range battery system can store 131 kWh of energy and deliver up to 9.6 kW of power." TWO real discrepancies found and disclosed while verifying, not smoothed over: (1) battery capacity is 98 kWh (standard) or 131 kWh (extended-range, the pack tied to this 9.6 kW figure) -- NOT close to this model's 90 kWh sales-weighted-average default (kept unchanged; independently justified, not meant to match one vehicle); (2) a separate, more recent (2026) source states the Lightning's own V2L rate is 2.4 kW, not 9.6 kW -- likely two different discharge pathways on the same vehicle (dedicated Home Integration System vs. portable V2L outlets). 9.6 kW used here as the more relevant figure for grid-directed V2G (this model's use case), not portable device charging.</t>
  </si>
  <si>
    <t xml:space="preserve">Solar Power World (Feb. 2022), Ford Intelligent Backup Power announcement; cross-checked against a second (2026) source reporting the conflicting 2.4 kW V2L figure</t>
  </si>
  <si>
    <t xml:space="preserve">Per-vehicle discharge power during 3-hr event window -- binding constraint, computed not assumed</t>
  </si>
  <si>
    <t xml:space="preserve">9.6 kW (hardware-rate-bound, not energy-bound)</t>
  </si>
  <si>
    <t xml:space="preserve">Verified directly which constraint actually binds: sustaining 9.6 kW for the full 3-hr return-home event window needs only 28.8 kWh, well under the ~79.46 kWh available per vehicle -- ~51 kWh of headroom unused even at max rate. The hardware discharge rate is the binding constraint, not available battery energy. Computed as min(hardware_rate, energy/window), not assumed to be either side without checking.</t>
  </si>
  <si>
    <t xml:space="preserve">Derived; see citizen_ev_v2g_analysis/citizen_ev_v2g_feature.py, per_vehicle_discharge_power_kw()</t>
  </si>
  <si>
    <t xml:space="preserve">Territory-wide ceiling, 50/50 split with EVChargerRewards (existing DLC)</t>
  </si>
  <si>
    <t xml:space="preserve">EVChargerRewards: ~179.5 MW | CitizenEVV2G: ~490.6 MW</t>
  </si>
  <si>
    <t xml:space="preserve">Direct user instruction: split the Dominion-territory EV population (est. 102,209 EVs) 50/50 between the two mutually-exclusive programs, rather than each assuming 100% independently. Same 51,105-vehicle population on both sides -- CitizenEVV2G's own ceiling comes out ~2.7x higher purely because 9.6 kW (hardware discharge) is a much larger per-vehicle figure than 3.51 kW (expected DLC curtailment) -- a real structural asymmetry, not an error. Both ceilings share the same base population (average US BEV fleet), which is looser than a true V2G-hardware-eligible-fleet figure would be -- bidirectional hardware is materially rarer than standard Level 2 equipment.</t>
  </si>
  <si>
    <t xml:space="preserve">Derived; see dlc_analysis/dlc_assumptions.py and citizen_ev_v2g_analysis/citizen_ev_v2g_feature.py, both territory_wide_ceiling_estimate_50_50_split_mw()</t>
  </si>
  <si>
    <t xml:space="preserve">Dominion VPP Pilot Filing -- program numbering (CORRECTED)</t>
  </si>
  <si>
    <t xml:space="preserve">Official Appendix C numbering vs. this model's own earlier (incorrect) references</t>
  </si>
  <si>
    <t xml:space="preserve">BYOD = #5 (was mislabeled #11); Managed Charging = #9 single entry (was mislabeled "#8/#9")</t>
  </si>
  <si>
    <t xml:space="preserve">Two real numbering errors found and corrected 2026-08-27, traced to an earlier working file using the filing's own informal Table 1 summary ordering rather than its official, numbered Appendix C tariff language. Verified directly against the source PDF. Real #8 in Appendix C is a different, unrelated program (Residential IAQ Battery Storage Pilot, Demand Response). Program #9 (Residential Managed Charging, TOU + non-TOU combined) confirmed to have NO WMA/DERA application -- structured as direct-with-Dominion enrollment (same DSM Rider C1A cost recovery as existing DLC programs), not an aggregator-mediated pathway.</t>
  </si>
  <si>
    <t xml:space="preserve">Company Exhibit, Witness CSY (Courtney S. Young), Schedule 1, Dec. 2025 VPP Pilot petition, Docket PUR-2025-00211: cdn-dominionenergy-prd-001.azureedge.net (see Dominion_VPP_Pilot_Research.md for full corrected table)</t>
  </si>
  <si>
    <t xml:space="preserve">Cost Methodology -- utility margin (CHANGED)</t>
  </si>
  <si>
    <t xml:space="preserve">Default utility margin applied to avoided-cost comparisons</t>
  </si>
  <si>
    <t xml:space="preserve">0.0% (was 5%)</t>
  </si>
  <si>
    <t xml:space="preserve">Changed to reflect "unsourced, not yet established" rather than an assumed 5% -- the prior 5% figure was not tied to any real, cited Dominion margin figure. 0.0% is NOT an assertion the true margin should be zero; it is the honest default pending a sourced figure. Consolidated into a single global constant (DEFAULT_UTILITY_MARGIN_PCT) rather than defined separately in each module, to prevent drift.</t>
  </si>
  <si>
    <t xml:space="preserve">Modeling decision, direct user instruction; see shared_base_classes/demand_side_feature.py</t>
  </si>
  <si>
    <t xml:space="preserve">Cost Methodology -- T&amp;D avoided cost (EXCLUDED)</t>
  </si>
  <si>
    <t xml:space="preserve">Avoided transmission &amp; distribution cost, in DLC/DERA avoided-cost comparisons</t>
  </si>
  <si>
    <t xml:space="preserve">Excluded from calculation (was $4.19/kW)</t>
  </si>
  <si>
    <t xml:space="preserve">Removed per direct user decision. The $4.19/kW figure traces to Virginia SCC case PUE-2011-00088 (2011) -- but that same case found avoided T&amp;D value from DG/DR resources "insufficient to pay for their proportionate share of the grid," undermining use of that figure as a clean avoided-cost credit today.</t>
  </si>
  <si>
    <t xml:space="preserve">Virginia SCC Case PUE-2011-00088 (2011)</t>
  </si>
  <si>
    <t xml:space="preserve">NYISO vs. PJM -- DER/DERA structural comparison</t>
  </si>
  <si>
    <t xml:space="preserve">Minimum aggregation size (both systems)</t>
  </si>
  <si>
    <t xml:space="preserve">&gt;=100 kW</t>
  </si>
  <si>
    <t xml:space="preserve">Identical in both systems -- confirmed directly for PJM (Order 2222 compliance filing, ER22-962) and cross-checked for NYISO against the user's own sourced research via an independent source (pv-magazine USA DER/VPP market series, July 2025).</t>
  </si>
  <si>
    <t xml:space="preserve">PJM ER22-962 compliance filing; NYISO DER Aggregation Program documentation; cross-check: pv-magazine USA, 'Virtual power plants in action' (Jul. 2025)</t>
  </si>
  <si>
    <t xml:space="preserve">PJM: two distinct self-aggregation pathways, no third-party DERA strictly required</t>
  </si>
  <si>
    <t xml:space="preserve">(1) "Single-resource aggregation" under the new Order 2222 DER Aggregator model; (2) self-registration as one's own Curtailment Service Provider (CSP) under the legacy model</t>
  </si>
  <si>
    <t xml:space="preserve">CORRECTED 2026-08-27 after this model's own working notes initially reported PJM's own DER program as not-yet-operational with no caveat -- that was incomplete. The NEW Order-2222 DER Aggregator model is genuinely not operational until Feb. 1, 2028 (energy/A/S) / the 2028-2029 BRA (capacity). But the LEGACY CSP/Emergency Load Response mechanism is operational TODAY, predates Order 2222 entirely, allows self-registration ('Register as your own CSP'), and is reported to remain the dominant C&amp;I mechanism through 2027. A Virginia C&amp;I/govt entity CAN access PJM's wholesale market today without a third-party DERA, via CSP -- just not via the newer, technology-agnostic Order-2222 model this project's own BYOD work depends on.</t>
  </si>
  <si>
    <t xml:space="preserve">PJM's own live CSP listing page (pjm.com/markets-and-operations/demand-response/csps.aspx); Lexology, 'PJM Proposes New Model for DER Aggregation' (citing PJM's own compliance filing directly on single-resource aggregation); third-party industry source on CSP remaining dominant through 2027 (kilowattlogic.com -- illustrative, not PJM-published)</t>
  </si>
  <si>
    <t xml:space="preserve">Third-Party VPP/DERA Compensation Benchmarks -- context/cross-check only</t>
  </si>
  <si>
    <t xml:space="preserve">Residential home-battery discharge rates found (NOT used to change this model's own $200/$100 VPP rate -- see DER_Owner_Economics!B393:B395 and its cell comment for why)</t>
  </si>
  <si>
    <t xml:space="preserve">Range $80-$275/kW-yr across 9 utility territories (Tesla-operated); 2 of 9 use a hybrid $/kW + $/kWh structure</t>
  </si>
  <si>
    <t xml:space="preserve">Full sourced table in ThirdParty_VPP_DERA_Compensation_Benchmarks.md. Headline finding: 7 of 9 programs found are purely fixed $/kW; exactly 2 (PSEG Long Island, SECO Energy FL) add a $/kWh-delivered volumetric component on top. This model's own existing $200/$100 summer/winter VPP rate (DER_Owner_Economics tab) is NOT a rough placeholder -- it is New Hampshire's own specific ConnectedSolutions-family rate, deliberately chosen over Massachusetts's $275/$50 split because this model's own demand analysis found Virginia's data-center-driven load has a genuine, strong winter peak that NH's proportionally-more-winter-weighted structure better matches. This new benchmark table is presented as additional cross-check context, not a replacement for that reasoned choice.</t>
  </si>
  <si>
    <t xml:space="preserve">Tesla's own published VPP program pages (PECO, APS, TEP, Entergy New Orleans, PSEG Long Island, SECO, ConnectedSolutions MA/RI); see ThirdParty_VPP_DERA_Compensation_Benchmarks.md for full table and citations</t>
  </si>
  <si>
    <t xml:space="preserve">EV-specific discharge (V2G) compensation found -- for context only, Dominion's own BYOD rate remains unpublished</t>
  </si>
  <si>
    <t xml:space="preserve">Genuinely thinner than home-battery compensation across every operator checked</t>
  </si>
  <si>
    <t xml:space="preserve">Most EV-specific V2G programs found are still small pilots (CT: capped at 63 participants; MA: ~45 vehicles enrolled at launch) or have no published rate at all (Tesla Powershare/TX: third-party estimate only, $200-500/yr, not a Tesla-published figure). Maryland's DRIVE Act pilots have a targeted (not yet live) rate of $300/kW-year, the most concrete forward-looking EV-specific figure found -- useful context given Delmarva/Pepco share a parent (Exelon) with a structure comparable to Dominion's own.</t>
  </si>
  <si>
    <t xml:space="preserve">See ThirdParty_VPP_DERA_Compensation_Benchmarks.md for full sourced table</t>
  </si>
  <si>
    <t xml:space="preserve">Non-Residential Curtailment (Dominion #4) -- tariff exclusivity language</t>
  </si>
  <si>
    <t xml:space="preserve">Actual tariff language is BROADER than this model's own code previously captured</t>
  </si>
  <si>
    <t xml:space="preserve">"...may not simultaneously participate in any other load curtailment programs or tariffs offered by Dominion Energy Virginia, PJM Interconnection LLC, or any other party"</t>
  </si>
  <si>
    <t xml:space="preserve">Verified directly against Dominion's own program page. A real, plausible, but genuinely untested textual distinction: "load curtailment" may not textually cover energy-market export/arbitrage (curtailing = using less; export = selling surplus) -- a real argument, not a settled one. Checked whether legislation would be needed to narrow this: NO -- the exclusivity language is Dominion's own program design, filed under Va. Code Section 56-585.1's general DSM-program authority (not itself written into the statute) and SCC-approved. The SCC already has jurisdiction over retail-program eligibility rules and could require narrower language without new legislation.</t>
  </si>
  <si>
    <t xml:space="preserve">dominionenergy.com/virginia/save-energy/targeted-sector-programs (direct quote); Dominion DSM Phase XIII application notice citing Va. Code Section 56-585.1 A 5; LBNL 'State regulatory opportunities to advance DER aggregations in wholesale markets' (jurisdictional finding)</t>
  </si>
  <si>
    <t xml:space="preserve">SUMMARY — Virginia SLCOE Comparison</t>
  </si>
  <si>
    <t xml:space="preserve">Q1 — GW OF SOLAR AND GW/GWh OF ENERGY STORAGE (as of 2025/current)</t>
  </si>
  <si>
    <t xml:space="preserve">Total Virginia installed solar capacity (all segments)</t>
  </si>
  <si>
    <t xml:space="preserve">7.5 GW</t>
  </si>
  <si>
    <t xml:space="preserve">SEIA: Virginia is the nation's 9th-largest solar market, 7.5 GW of capacity (as of early 2026 reporting)</t>
  </si>
  <si>
    <t xml:space="preserve">  of which utility-scale solar</t>
  </si>
  <si>
    <t xml:space="preserve">5.3 GW</t>
  </si>
  <si>
    <t xml:space="preserve">143 operating solar farms</t>
  </si>
  <si>
    <t xml:space="preserve">  of which distributed/rooftop/community (implied residual)</t>
  </si>
  <si>
    <t xml:space="preserve">~2.2 GW</t>
  </si>
  <si>
    <t xml:space="preserve">Model-derived residual: 7.5 GW total minus 5.3 GW utility-scale</t>
  </si>
  <si>
    <t xml:space="preserve">  UPDATED: blended solar capacity factor used in this model</t>
  </si>
  <si>
    <t xml:space="preserve">22.8%</t>
  </si>
  <si>
    <t xml:space="preserve">Computed from 6 uploaded hourly PVWatts-style files (Chesapeake City, Albemarle County, King George County; 2016+2017). Site-year range 21.8%-23.4%. Replaces prior generic 24-25% benchmark.</t>
  </si>
  <si>
    <t xml:space="preserve">User-provided hourly insolation files; computed in-model</t>
  </si>
  <si>
    <t xml:space="preserve">Existing PUMPED-HYDRO storage (Bath County Pumped Storage Station)</t>
  </si>
  <si>
    <t xml:space="preserve">Operational since 1985; ~10-11 hr typical duration implies roughly 30+ GWh (not separately published; general convention, not an exact cited figure)</t>
  </si>
  <si>
    <t xml:space="preserve">VPM/WHRO reporting, Aug 2025</t>
  </si>
  <si>
    <t xml:space="preserve">Existing/near-term BATTERY storage (sum of operating + financed projects)</t>
  </si>
  <si>
    <t xml:space="preserve">~260 MW / ~660+ MWh</t>
  </si>
  <si>
    <t xml:space="preserve">Scott (12MW), Dry Bridge (20MW), Dulles (50MW planned), 3 pilots (~26MW/~58MWh), Prospect Power (150MW/600MWh, financed 2026)</t>
  </si>
  <si>
    <t xml:space="preserve">Dominion Energy 'Battery Storage' page; VPM; StockTitan/PR Newswire, 2026</t>
  </si>
  <si>
    <t xml:space="preserve">UPDATED STATUTORY STORAGE TARGETS (2026-enacted, HB895/SB448, effective 7/1/2026):</t>
  </si>
  <si>
    <t xml:space="preserve">  Dominion short-duration (sodium-ion proxy) target</t>
  </si>
  <si>
    <t xml:space="preserve">16,000 MW by 2045</t>
  </si>
  <si>
    <t xml:space="preserve">Up from original 2,700 MW/2035 — a ~7.2x increase (NOT a doubling — see Assumptions tab note)</t>
  </si>
  <si>
    <t xml:space="preserve">Va. Dept. of Planning &amp; Budget fiscal impact statement; Williams Mullen, May 2026</t>
  </si>
  <si>
    <t xml:space="preserve">  Dominion long-duration/LDES (iron-air proxy) target</t>
  </si>
  <si>
    <t xml:space="preserve">3,480 MW by 2045</t>
  </si>
  <si>
    <t xml:space="preserve">New category; VCEA previously had no LDES-specific target</t>
  </si>
  <si>
    <t xml:space="preserve">Same sources</t>
  </si>
  <si>
    <t xml:space="preserve">  Dominion combined total (used in this model's Scenario 2)</t>
  </si>
  <si>
    <t xml:space="preserve">19,480 MW by 2045</t>
  </si>
  <si>
    <t xml:space="preserve">Statewide combined Dominion+APCo total reported elsewhere as ~21,000 MW</t>
  </si>
  <si>
    <t xml:space="preserve">VCIJ/WHRO, July 2026</t>
  </si>
  <si>
    <t xml:space="preserve">STORAGE TECHNOLOGY COSTS used in this model (replacing prior lithium-ion benchmark):</t>
  </si>
  <si>
    <t xml:space="preserve">  Sodium-ion (short-duration, 6-hr assumed)</t>
  </si>
  <si>
    <t xml:space="preserve">$97.50/kWh (2026) -&gt; $43.40/kWh (2050)</t>
  </si>
  <si>
    <t xml:space="preserve">Smooth exponential decline</t>
  </si>
  <si>
    <t xml:space="preserve">Kucher et al., ScienceDirect, 'Sodium-ion battery cost projections...to 2050' (2025/2026)</t>
  </si>
  <si>
    <t xml:space="preserve">  Iron-air (long-duration/LDES, 100-hr assumed)</t>
  </si>
  <si>
    <t xml:space="preserve">$52.50/kWh (2026) -&gt; $13.13/kWh (2050)</t>
  </si>
  <si>
    <t xml:space="preserve">Exponential decline to exactly 1/4 of 2026 value by 2050, per your specified formula</t>
  </si>
  <si>
    <t xml:space="preserve">Energy Solutions Intelligence, 'Iron-Air Batteries 2026...' (energy-solutions.co), July 2026</t>
  </si>
  <si>
    <t xml:space="preserve">Q2 — SYSTEM LEVELIZED COST OF ENERGY (SLCOE), 25-YEAR (2026-2050), $/MWh</t>
  </si>
  <si>
    <t xml:space="preserve">Scenario</t>
  </si>
  <si>
    <t xml:space="preserve">SLCOE ($/MWh)</t>
  </si>
  <si>
    <t xml:space="preserve">vs. Scenario 1</t>
  </si>
  <si>
    <t xml:space="preserve">What it represents</t>
  </si>
  <si>
    <t xml:space="preserve">Scenario 1 — Utility solar+storage (VPP-firmed) + nuclear + existing solar + CVOW [REMOVED -- superseded by HourlyRPS tabs]</t>
  </si>
  <si>
    <t xml:space="preserve">Scenario 2 — VCEA/RPS-minimum solar+storage + CCGT (BASE case = Deloitte gas price) [REMOVED -- superseded by HourlyRPS tabs]</t>
  </si>
  <si>
    <t xml:space="preserve">Scenario 2 — same build, EIA gas price (informational reference only, not primary) [REMOVED -- superseded by HourlyRPS tabs]</t>
  </si>
  <si>
    <t xml:space="preserve">Scenario 3 — Scenario 1's new-build split 80% utility/10% rooftop/10% parking-lot + DSM suite [REMOVED -- superseded by HourlyRPS tabs]</t>
  </si>
  <si>
    <t xml:space="preserve">Scenario 1B (Hourly) — 95% clean/5% gas, TRUE hourly LP dispatch (DIFFERENT METHODOLOGY, see Scenario1B tab)</t>
  </si>
  <si>
    <t xml:space="preserve">n/a — not on the same 25-yr PV basis, see Scenario1B tab</t>
  </si>
  <si>
    <t xml:space="preserve">2044/2045 point-in-time snapshot verified against actual 2016/2017 weather (incl. the Dec-Feb Dunkelflaute-style event), NOT a 2026-2050 build-out. Nominal $/MWh shown; see Scenario1B tab for the properly-discounted NPV and all-in (incl. Tier 1/2) figures.</t>
  </si>
  <si>
    <t xml:space="preserve">Scenario 3B (Hourly) — Scenario1B's mechanics + Scenario 3's DSM-adjusted demand (DIFFERENT METHODOLOGY, see Scenario3B tab)</t>
  </si>
  <si>
    <t xml:space="preserve">n/a — not on the same 25-yr PV basis, see Scenario3B tab</t>
  </si>
  <si>
    <t xml:space="preserve">Same true hourly LP as Scenario1B, same 95%/5% gas cap, but demand reduced per Scenario 3's DSM suite (peak-targeted hourly allocation, see Scenario3B tab). SLCOE-equivalent ~37% below Scenario1B's, driven disproportionately by reduced extreme-event storage need, not just less total demand.</t>
  </si>
  <si>
    <t xml:space="preserve">Q3 — HOURLY DISPATCH VERIFICATION RESULTS (Scenario 1 &amp; Scenario 1B, hourly-resolved, 2044/2045 actual weather)</t>
  </si>
  <si>
    <t xml:space="preserve">Methodology note: unlike Scenarios 1/2/3 above (25-yr levelized SLCOE from an annual energy-balance model), these results come from a true hourly</t>
  </si>
  <si>
    <t xml:space="preserve">linear-programming dispatch of 17,544 hours (2044 using actual 2016 weather, 2045 using actual 2017 weather -- including the Dec/Jan/Feb low-solar event),</t>
  </si>
  <si>
    <t xml:space="preserve">sizing solar/sodium-ion/iron-air capacity to reliably serve Dominion-territory hourly load. Figures are a 2044/2045 point-in-time capacity-adequacy snapshot,</t>
  </si>
  <si>
    <t xml:space="preserve">not a full 2026-2050 build-out -- NOT directly comparable to the $/MWh SLCOE figures above without care. NPV uses the same 4.5% real WACC and discounting convention.</t>
  </si>
  <si>
    <t xml:space="preserve">Scenario 1's cost figures use the annual model's updated $63/MWh export price base (was $45), applied as a POST-HOC revenue recalculation on the ORIGINAL</t>
  </si>
  <si>
    <t xml:space="preserve">$45-price-optimal dispatch/build decisions (build sizes NOT re-optimized against the new price) -- a genuine LP re-solve at $63/MWh was attempted and hit an</t>
  </si>
  <si>
    <t xml:space="preserve">unresolved solver issue (see chat history); this is a directional approximation, not a fully re-optimized result. Build sizes below are therefore unchanged from the original $45-price solve.</t>
  </si>
  <si>
    <t xml:space="preserve">Metric</t>
  </si>
  <si>
    <t xml:space="preserve">Scenario 1 (100% clean, no gas)</t>
  </si>
  <si>
    <t xml:space="preserve">Scenario 1B (95% clean / 5% gas)</t>
  </si>
  <si>
    <t xml:space="preserve">New solar built (MW)</t>
  </si>
  <si>
    <t xml:space="preserve">121,102 (unchanged, not re-optimized)</t>
  </si>
  <si>
    <t xml:space="preserve">74,445</t>
  </si>
  <si>
    <t xml:space="preserve">Sodium-ion power / energy / duration</t>
  </si>
  <si>
    <t xml:space="preserve">146,161 MW / 534,741 MWh / 3.7 hr</t>
  </si>
  <si>
    <t xml:space="preserve">147,326 MW / 319,164 MWh / 2.2 hr</t>
  </si>
  <si>
    <t xml:space="preserve">Iron-air (LDES) energy / power (100-hr fixed duration)</t>
  </si>
  <si>
    <t xml:space="preserve">2,482,500 MWh / 24,825 MW</t>
  </si>
  <si>
    <t xml:space="preserve">363,374 MWh / 3,634 MW</t>
  </si>
  <si>
    <t xml:space="preserve">Gas generation used (2-yr total)</t>
  </si>
  <si>
    <t xml:space="preserve">0 GWh (hard constraint)</t>
  </si>
  <si>
    <t xml:space="preserve">24,804 GWh</t>
  </si>
  <si>
    <t xml:space="preserve">  Tier 1 climate cost of that gas (CCGT factors, 2-yr total)</t>
  </si>
  <si>
    <t xml:space="preserve">$0 (no gas)</t>
  </si>
  <si>
    <t xml:space="preserve">$1,601M</t>
  </si>
  <si>
    <t xml:space="preserve">  Tier 2 health cost of that gas (suburban-avg, sustained; CCGT factors)</t>
  </si>
  <si>
    <t xml:space="preserve">$685M</t>
  </si>
  <si>
    <t xml:space="preserve">2-yr nominal total cost</t>
  </si>
  <si>
    <t xml:space="preserve">$25.46B (was $26.87B at old $45 export price)</t>
  </si>
  <si>
    <t xml:space="preserve">$14.49B (at old $45 export price -- not yet updated)</t>
  </si>
  <si>
    <t xml:space="preserve">NPV (2026 dollars, 4.5% real WACC)</t>
  </si>
  <si>
    <t xml:space="preserve">$10.79B (was $11.39B)</t>
  </si>
  <si>
    <t xml:space="preserve">$6.14B (at old $45 export price -- not yet updated)</t>
  </si>
  <si>
    <t xml:space="preserve">Key finding: allowing just 5% gas roughly halves total cost and cuts required iron-air (long-duration storage) capacity by ~85%, a direct,</t>
  </si>
  <si>
    <t xml:space="preserve">quantified illustration of how disproportionately expensive the last few percent of weather-resilient decarbonization is against a real historical winter event.</t>
  </si>
  <si>
    <t xml:space="preserve">Solved via sparse LP (scipy/HiGHS interior-point method); Scenario 1B's solution has a ~9.4% duality-gap bound (not certified to full optimality) but was independently</t>
  </si>
  <si>
    <t xml:space="preserve">verified against the raw constraint set (energy balance error ~5e-7 MW on ~23,000 MW demand; zero bound violations). Full hourly output (10 series, both years) provided as separate CSV files.</t>
  </si>
  <si>
    <t xml:space="preserve">TIERED SOCIAL COST BY SCENARIO (Tier 1 climate + Tier 2 health, from gas/CCGT generation -- INFORMATIONAL, not included in any SLCOE figure above)</t>
  </si>
  <si>
    <t xml:space="preserve">Uses grid-scale CCGT emission factors (Externality_SocialCost tab), NOT the diesel backup-generator factors used in the Ashburn illustrative case -- these are a different technology.</t>
  </si>
  <si>
    <t xml:space="preserve">25-yr gas/CCGT gen (GWh)</t>
  </si>
  <si>
    <t xml:space="preserve">Tier 1 climate cost ($M)</t>
  </si>
  <si>
    <t xml:space="preserve">Tier 2 health cost ($M)</t>
  </si>
  <si>
    <t xml:space="preserve">Combined ($M)</t>
  </si>
  <si>
    <t xml:space="preserve">Scenario 1 (100% clean, bridging gas during ramp-up) [REMOVED -- superseded by HourlyRPS tabs]</t>
  </si>
  <si>
    <t xml:space="preserve">Scenario 2 (VCEA-minimum + CCGT) [REMOVED -- superseded by HourlyRPS tabs]</t>
  </si>
  <si>
    <t xml:space="preserve">Scenario 3 (80/10/10 ownership + DSM, bridging gas) [REMOVED -- superseded by HourlyRPS tabs]</t>
  </si>
  <si>
    <t xml:space="preserve">Tier 2 uses the suburban-average density, sustained/routine frequency case -- CCGT is planned dispatch, not occasional emergency backup, so the 'episodic' multiplier from the</t>
  </si>
  <si>
    <t xml:space="preserve">Ashburn diesel-generator case does not apply here. See Externality_SocialCost tab and Assumptions tab for full sourcing and the rural/dense sensitivity range.</t>
  </si>
  <si>
    <t xml:space="preserve">TIERED COST SUMMARY -- PRESENT VALUE BASIS (Base SLCOE NPV + Tier 1 + Tier 2, all discounted consistently; Tier 3 not monetized by design)</t>
  </si>
  <si>
    <t xml:space="preserve">Unlike the nominal table above, everything here is on the SAME (discounted, PV) basis as the Base SLCOE NPV, so rows are genuinely additive.</t>
  </si>
  <si>
    <t xml:space="preserve">Base SLCOE NPV ($M)</t>
  </si>
  <si>
    <t xml:space="preserve">+ Tier 1 Climate ($M)</t>
  </si>
  <si>
    <t xml:space="preserve">+ Tier 2 Health ($M)</t>
  </si>
  <si>
    <t xml:space="preserve">Tier 3</t>
  </si>
  <si>
    <t xml:space="preserve">All-In Total ($M)</t>
  </si>
  <si>
    <t xml:space="preserve">Scenario 1 (100% clean, bridging gas) [REMOVED -- superseded by HourlyRPS tabs]</t>
  </si>
  <si>
    <t xml:space="preserve">Not monetized</t>
  </si>
  <si>
    <t xml:space="preserve">Scenario 2 (VCEA-min + CCGT, Deloitte gas) [REMOVED -- superseded by HourlyRPS tabs]</t>
  </si>
  <si>
    <t xml:space="preserve">Scenario 3 (80/10/10 + DSM, bridging gas) [REMOVED -- superseded by HourlyRPS tabs]</t>
  </si>
  <si>
    <t xml:space="preserve">Key finding: the scenario ranking can flip once externalities are included -- a scenario with the lowest base SLCOE NPV is not necessarily the lowest all-in cost</t>
  </si>
  <si>
    <t xml:space="preserve">once its actual gas-burn VOLUME (not just its unit price) is priced in. Tier 3 (cancer risk) is deliberately excluded from the All-In Total -- see Externality_SocialCost tab.</t>
  </si>
  <si>
    <t xml:space="preserve">OWNER ECONOMICS (Scenario 3 distributed segments) — 25-yr NPV per kW-AC installed, wholesale-equivalent VPP compensation</t>
  </si>
  <si>
    <t xml:space="preserve">Segment</t>
  </si>
  <si>
    <t xml:space="preserve">25-yr NPV ($/kW)</t>
  </si>
  <si>
    <t xml:space="preserve">Simple payback (yrs)</t>
  </si>
  <si>
    <t xml:space="preserve">Rooftop owner (blended residential/C&amp;I) — NPV per kW</t>
  </si>
  <si>
    <t xml:space="preserve">Parking-lot/carport owner (C&amp;I) — NPV per kW</t>
  </si>
  <si>
    <t xml:space="preserve">SENSITIVITY: if VA adopted a NY-LSRV-style locational/distribution-deferral adder (hypothetical, not current VA law -- see Assumptions tab)</t>
  </si>
  <si>
    <t xml:space="preserve">NPV w/ adder ($/kW)</t>
  </si>
  <si>
    <t xml:space="preserve">Improvement vs. base</t>
  </si>
  <si>
    <t xml:space="preserve">Rooftop owner — NPV per kW, incl. LSRV-style adder</t>
  </si>
  <si>
    <t xml:space="preserve">Parking-lot owner — NPV per kW, incl. LSRV-style adder</t>
  </si>
  <si>
    <t xml:space="preserve">Meaningful improvement (~$223-233/kW) but neither segment reaches positive NPV on this adder alone -- it deliberately excludes NY's DRV</t>
  </si>
  <si>
    <t xml:space="preserve">component and other value streams (see Assumptions tab), so treat this as a conservative partial illustration, not a full replication of any state's program.</t>
  </si>
  <si>
    <t xml:space="preserve">Both segments show NEGATIVE 25-yr NPV under wholesale-equivalent VPP compensation ($27/MWh energy + PJM</t>
  </si>
  <si>
    <t xml:space="preserve">capacity payments) even though they pay back in nominal/undiscounted terms within the 25-yr window. This is a real economic tension:</t>
  </si>
  <si>
    <t xml:space="preserve">compensating DER owners at wholesale rates (efficient for the grid) is far less lucrative than traditional full-retail-rate net metering,</t>
  </si>
  <si>
    <t xml:space="preserve">which is what has driven strong owner adoption historically. At a compensation rate closer to VA's average retail rate (roughly 4-5x the</t>
  </si>
  <si>
    <t xml:space="preserve">modeled $27/MWh), both segments would show strongly positive NPV instead — this gap is the central policy design tension for any VPP tariff.</t>
  </si>
  <si>
    <t xml:space="preserve">TOP CAVEATS (full list in README tab)</t>
  </si>
  <si>
    <t xml:space="preserve">1. Annual energy-balance model, not hourly dispatch — Scenario 1's reliability at high renewable penetration is not physically verified here.</t>
  </si>
  <si>
    <t xml:space="preserve">2. Many unit costs are national benchmarks (NREL ATB/Lazard/EIA/ScienceDirect/energy-solutions.co), not Dominion-specific — flagged individually in Assumptions.</t>
  </si>
  <si>
    <t xml:space="preserve">3. Demand forecast (121%-183% growth by 2040-45 depending on source) is the single largest source of uncertainty in every result above.</t>
  </si>
  <si>
    <t xml:space="preserve">4. PJM capacity-price path (plateau -&gt; $75,000/MW-yr by 2035, held flat) does NOT model the price-suppression feedback from adding the very large</t>
  </si>
  <si>
    <t xml:space="preserve">   amount of new accredited capacity this build implies — real-world capacity prices would likely fall further as this much supply is added,</t>
  </si>
  <si>
    <t xml:space="preserve">   meaning Scenario 1 / 1B's SLCOE is probably somewhat UNDERSTATED (too optimistic) in the later years of the model.</t>
  </si>
  <si>
    <t xml:space="preserve">5. Distribution transformer costs ($120/kW gross) and interconnection costs ($180/kW) are general industry placeholders, not Dominion-published figures.</t>
  </si>
  <si>
    <t xml:space="preserve">6. The 2016/2017 insolation data confirms a real winter dip (Dec CF ~0.12, Jan CF ~0.10-0.16 vs. ~0.228 annual average) across all 3 VA sites/2 years.</t>
  </si>
  <si>
    <t xml:space="preserve">   This is captured only as an ANNUAL average CF in this model, not a monthly/seasonal profile — the true cost of firming through winter troughs</t>
  </si>
  <si>
    <t xml:space="preserve">   is understated here relative to what an hourly/monthly dispatch model would show, which reinforces caveat #1 above.</t>
  </si>
  <si>
    <t xml:space="preserve">7. Iron-air's 40-50% round-trip efficiency (vs. ~85-92% for lithium-family batteries) is NOT reflected in this model's 3% flat storage-loss factor —</t>
  </si>
  <si>
    <t xml:space="preserve">   a more granular model would apply a much larger loss factor to the iron-air-served portion of throughput, modestly understating its true cost.</t>
  </si>
  <si>
    <t xml:space="preserve">Virginia Demand Forecast &amp; 6% Net-Metering Cap Carve-Out</t>
  </si>
  <si>
    <t xml:space="preserve">Line Item</t>
  </si>
  <si>
    <t xml:space="preserve">Input / Source</t>
  </si>
  <si>
    <t xml:space="preserve">STEP 1 — TOTAL VIRGINIA (DOM ZONE) SYSTEM DEMAND</t>
  </si>
  <si>
    <t xml:space="preserve">2025 baseline system demand (GWh)</t>
  </si>
  <si>
    <t xml:space="preserve">Demand growth rate (%/yr)</t>
  </si>
  <si>
    <t xml:space="preserve">5.5% (2026-35), ~4.0% (2036-39), 2.5% (2040-50) — see Assumptions tab</t>
  </si>
  <si>
    <t xml:space="preserve">Total Virginia system demand (GWh)</t>
  </si>
  <si>
    <t xml:space="preserve">STEP 2 — DOM ZONE PEAK LOAD &amp; STATUTORY 6% NET-METERING CAP (Va. Code Section 56-594)</t>
  </si>
  <si>
    <t xml:space="preserve">2025 baseline DOM zone summer peak (MW)</t>
  </si>
  <si>
    <t xml:space="preserve">DOM zone summer peak load (MW)</t>
  </si>
  <si>
    <t xml:space="preserve">Statutory net-metering cap (% of peak)</t>
  </si>
  <si>
    <t xml:space="preserve">6% NEM cap, capacity-equivalent (MW)</t>
  </si>
  <si>
    <t xml:space="preserve">STEP 3 — NEM-ENROLLED DISTRIBUTED SOLAR (linear ramp to cap by 2035, then tracks the growing cap)</t>
  </si>
  <si>
    <t xml:space="preserve">NEM-enrolled solar capacity, cumulative (MW)</t>
  </si>
  <si>
    <t xml:space="preserve">NEM solar capacity factor (%)</t>
  </si>
  <si>
    <t xml:space="preserve">NEM solar generation (GWh)</t>
  </si>
  <si>
    <t xml:space="preserve">STEP 4 — NET UTILITY-SERVED DEMAND (total demand, net of NEM solar carve-out; feeds Scenario 1 &amp; Scenario 2)</t>
  </si>
  <si>
    <t xml:space="preserve">Net utility-served demand (GWh)</t>
  </si>
  <si>
    <t xml:space="preserve">Social Cost of DLC-with-Onsite-Backup-Generation — Three-Tier Externality Analysis</t>
  </si>
  <si>
    <t xml:space="preserve">Illustrative case: Ashburn-style data-center backup diesel generation during PJM emergency demand response events</t>
  </si>
  <si>
    <t xml:space="preserve">DIESEL BACKUP GENERATOR EMISSION FACTORS (per MWh generated)</t>
  </si>
  <si>
    <t xml:space="preserve">Note: light citizen-readable summary is in Section F at the bottom of this tab.</t>
  </si>
  <si>
    <t xml:space="preserve">CO2 emission factor (ton/MWh)</t>
  </si>
  <si>
    <t xml:space="preserve">NOx emission factor (ton/MWh)</t>
  </si>
  <si>
    <t xml:space="preserve">PM2.5 emission factor (ton/MWh)</t>
  </si>
  <si>
    <t xml:space="preserve">SO2 emission factor (ton/MWh)</t>
  </si>
  <si>
    <t xml:space="preserve">TIER 1 — CLIMATE COSTS (pre-Jan 20, 2025 EPA SC-GHG methodology; see Assumptions tab for governance note)</t>
  </si>
  <si>
    <t xml:space="preserve">SC-CO2, low (2.5% discount rate) ($/ton)</t>
  </si>
  <si>
    <t xml:space="preserve">SC-CO2, central (2.0% discount rate) ($/ton)</t>
  </si>
  <si>
    <t xml:space="preserve">SC-CO2, high (1.5% discount rate) ($/ton)</t>
  </si>
  <si>
    <t xml:space="preserve">SC-CH4 ($/ton) [reference only -- negligible for diesel combustion]</t>
  </si>
  <si>
    <t xml:space="preserve">SC-N2O ($/ton) [reference only -- negligible for diesel combustion]</t>
  </si>
  <si>
    <t xml:space="preserve">Tier 1 cost per MWh, by discount-rate case ($/MWh)</t>
  </si>
  <si>
    <t xml:space="preserve">  Low (2.5% discount)</t>
  </si>
  <si>
    <t xml:space="preserve">  Central (2.0% discount)</t>
  </si>
  <si>
    <t xml:space="preserve">  High (1.5% discount)</t>
  </si>
  <si>
    <t xml:space="preserve">TIER 2 — REGIONAL/LOCAL HEALTH COSTS (EPA Benefit-per-Ton, 'area source' category, 2016$)</t>
  </si>
  <si>
    <t xml:space="preserve">PM2.5 benefit-per-ton, base ($/ton)</t>
  </si>
  <si>
    <t xml:space="preserve">SO2 benefit-per-ton, base ($/ton)</t>
  </si>
  <si>
    <t xml:space="preserve">NOx benefit-per-ton, base ($/ton)</t>
  </si>
  <si>
    <t xml:space="preserve">Tier 2 base cost per MWh (before density/frequency sensitivity), $/MWh</t>
  </si>
  <si>
    <t xml:space="preserve">  PM2.5 + SO2 + NOx, base area-source rates</t>
  </si>
  <si>
    <t xml:space="preserve">SENSITIVITY DIMENSION 1 — POPULATION DENSITY MULTIPLIER (Tier 2 only; illustrative, see Assumptions tab)</t>
  </si>
  <si>
    <t xml:space="preserve">Rural Dominion-territory multiplier</t>
  </si>
  <si>
    <t xml:space="preserve">Suburban-average multiplier</t>
  </si>
  <si>
    <t xml:space="preserve">Dense/Ashburn-type multiplier</t>
  </si>
  <si>
    <t xml:space="preserve">SENSITIVITY DIMENSION 2 — EVENT FREQUENCY/DURATION MULTIPLIER (Tier 2 only)</t>
  </si>
  <si>
    <t xml:space="preserve">Episodic (current occasional-event basis) multiplier</t>
  </si>
  <si>
    <t xml:space="preserve">Sustained (if events become routine) multiplier</t>
  </si>
  <si>
    <t xml:space="preserve">COMBINED SENSITIVITY GRID -- Tier 2 health cost, $/MWh (density x frequency; Tier 1 climate cost shown separately per presentation principle)</t>
  </si>
  <si>
    <t xml:space="preserve">Per the 'never pre-blend Tier 1 and Tier 2' principle (Assumptions tab), this grid is Tier-2 (health) ONLY. Tier 1 (climate) totals are fixed regardless of density/frequency and shown in the row below.</t>
  </si>
  <si>
    <t xml:space="preserve">Density \ Frequency</t>
  </si>
  <si>
    <t xml:space="preserve">Episodic (current)</t>
  </si>
  <si>
    <t xml:space="preserve">Sustained (if routine)</t>
  </si>
  <si>
    <t xml:space="preserve">Rural</t>
  </si>
  <si>
    <t xml:space="preserve">Suburban-average</t>
  </si>
  <si>
    <t xml:space="preserve">Dense (Ashburn-type)</t>
  </si>
  <si>
    <t xml:space="preserve">Tier 1 (climate) cost per MWh -- fixed regardless of density/frequency, shown for reference alongside the grid above</t>
  </si>
  <si>
    <t xml:space="preserve">  Central estimate</t>
  </si>
  <si>
    <t xml:space="preserve">  Range (low discount rate to high discount rate)</t>
  </si>
  <si>
    <t xml:space="preserve">TIER 3 -- AIR TOXICS / CANCER RISK (qualitative, NOT monetized, NOT included in any total above)</t>
  </si>
  <si>
    <t xml:space="preserve">Diesel exhaust has been found responsible for &gt;70% of cancer risk from air toxics in California and the broader US (CARB 2000; Ryan et al. 2002).</t>
  </si>
  <si>
    <t xml:space="preserve">This tier is intentionally kept OUT of the Tier 1 + Tier 2 dollar figures above -- consistent with how EPA itself separates Hazardous Air Pollutants</t>
  </si>
  <si>
    <t xml:space="preserve">(Clean Air Act Section 112) from criteria pollutants (which have benefit-per-ton monetization). Recommended presentation: excess cancer risk per</t>
  </si>
  <si>
    <t xml:space="preserve">million exposed, not a dollar figure -- bolting a shaky monetized HAP estimate onto an otherwise well-sourced Tier 1/2 total would undermine both.</t>
  </si>
  <si>
    <t xml:space="preserve">SECTION F -- CITIZEN/DECISION-MAKER-READABLE SUMMARY</t>
  </si>
  <si>
    <t xml:space="preserve">For an Ashburn-area resident or local decision-maker, the most relevant figure is Tier 2 (local health cost), evaluated at DENSE + whatever</t>
  </si>
  <si>
    <t xml:space="preserve">frequency assumption matches how often backup generation is actually expected to run in your area over the planning horizon.</t>
  </si>
  <si>
    <t xml:space="preserve">For a state legislator weighing statewide climate policy, the most relevant figure is Tier 1 (climate cost) -- global and long-horizon, and NOT</t>
  </si>
  <si>
    <t xml:space="preserve">sensitive to where in Virginia the generation occurs.</t>
  </si>
  <si>
    <t xml:space="preserve">Tier 3 (cancer risk) should be discussed alongside both, in its own right, as a qualitative but real additional risk factor -- not summed into either.</t>
  </si>
  <si>
    <t xml:space="preserve">GRID-SCALE CCGT EMISSION FACTORS (distinct from diesel backup gensets above -- used for Scenario 1/2/3's bridging gas / CCGT generation)</t>
  </si>
  <si>
    <t xml:space="preserve">Note: CCGT is a materially cleaner technology than small uncontrolled diesel backup generators -- do not reuse the diesel factors above for grid-scale gas generation.</t>
  </si>
  <si>
    <t xml:space="preserve">CCGT CO2 emission factor (ton/MWh)</t>
  </si>
  <si>
    <t xml:space="preserve">CCGT NOx emission factor (ton/MWh)</t>
  </si>
  <si>
    <t xml:space="preserve">CCGT SO2 emission factor (ton/MWh)</t>
  </si>
  <si>
    <t xml:space="preserve">CCGT PM2.5 emission factor (ton/MWh)</t>
  </si>
  <si>
    <t xml:space="preserve">CCGT Tier 1 (climate) cost per MWh, central estimate</t>
  </si>
  <si>
    <t xml:space="preserve">CCGT Tier 2 (health) cost per MWh, base rate (suburban-average density, sustained/routine frequency -- CCGT is planned dispatch, not occasional backup)</t>
  </si>
  <si>
    <t xml:space="preserve">Scenario 1 — Hourly-Verified, RPS-Compliance Trajectory (2026-2045)</t>
  </si>
  <si>
    <t xml:space="preserve">Genuine hourly LP re-solve at each checkpoint, following Dominion's actual RPS schedule, at current cost assumptions</t>
  </si>
  <si>
    <t xml:space="preserve">METHODOLOGY NOTE — read before using this tab</t>
  </si>
  <si>
    <t xml:space="preserve">DISTINCT from both Scenario1 (CF-based annual model) and Scenario1B (fixed 5% gas snapshot, 2044/45 only). This tab follows the ACTUAL</t>
  </si>
  <si>
    <t xml:space="preserve">VA Code SS56-585.5 RPS schedule -- gas allowance shrinks year by year (41% clean required by 2030, 59% by 2035, 79% by 2040, ~100% by 2045)</t>
  </si>
  <si>
    <t xml:space="preserve">-- rather than holding stringency fixed. Four checkpoint years (2030, 2035, 2040, 2044.5) were EACH independently, fully re-solved via true</t>
  </si>
  <si>
    <t xml:space="preserve">hourly LP dispatch (8,760 hours, 2016-17 hydrological-year weather -- the min-max-robust weather year identified in Appendix N) at CURRENT</t>
  </si>
  <si>
    <t xml:space="preserve">cost assumptions (solar CAPEX $1,474/kW 2026 base, O&amp;M $24/kW-yr -- see Assumptions tab). This is a FULL RE-SOLVE, not a re-pricing of old</t>
  </si>
  <si>
    <t xml:space="preserve">build sizes -- the optimal mix (how much solar vs. gas vs. storage) is free to shift in response to the updated costs, and it does: at 2030</t>
  </si>
  <si>
    <t xml:space="preserve">specifically, the higher solar cost flips the RPS gas constraint from non-binding to binding, cutting the optimal solar build by ~80% versus</t>
  </si>
  <si>
    <t xml:space="preserve">the prior (stale-cost) solve. Intermediate years (2027-2029, 2031-2034, etc.) are PIECEWISE-LINEAR interpolated between checkpoints for all</t>
  </si>
  <si>
    <t xml:space="preserve">physical quantities (solar MW, sodium MW/MWh, iron-air MWh, gas GWh, export revenue) -- deliberately NOT smoothed. An earlier attempt at a</t>
  </si>
  <si>
    <t xml:space="preserve">smooth cubic-spline fit for solar produced negative capacity in 2027-2028 (a real artifact, caught and corrected) once the 2030 checkpoint's</t>
  </si>
  <si>
    <t xml:space="preserve">value dropped sharply relative to trend; piecewise-linear avoids this failure mode and matches the treatment already used for storage.</t>
  </si>
  <si>
    <t xml:space="preserve">SLCOE = PV(annualized capex+O&amp;M + gas cost - export revenue), summed 2026-2045 at 4.5% real WACC, divided by PV(demand) over the same window.</t>
  </si>
  <si>
    <t xml:space="preserve">Scenario 3's equivalent (with DSM) has NOT yet been built -- this tab covers Scenario 1 only.</t>
  </si>
  <si>
    <t xml:space="preserve">CHECKPOINT BUILD SIZES (LP-solved, verified against energy balance to &lt;1e-6 MW)</t>
  </si>
  <si>
    <t xml:space="preserve">Year</t>
  </si>
  <si>
    <t xml:space="preserve">Solar MW</t>
  </si>
  <si>
    <t xml:space="preserve">Na Power MW</t>
  </si>
  <si>
    <t xml:space="preserve">Na Energy MWh</t>
  </si>
  <si>
    <t xml:space="preserve">FE MWh</t>
  </si>
  <si>
    <t xml:space="preserve">Gas %</t>
  </si>
  <si>
    <t xml:space="preserve">2045 (Apr 2045-Mar 2046)</t>
  </si>
  <si>
    <t xml:space="preserve">FULL 2026-2045 ANNUAL STREAM (piecewise-linear interpolated, net cost = capex+O&amp;M + gas - export revenue)</t>
  </si>
  <si>
    <t xml:space="preserve">Net Cost $M</t>
  </si>
  <si>
    <t xml:space="preserve">RESULT</t>
  </si>
  <si>
    <t xml:space="preserve">PV total cost, 2026-2045 @ 4.5% WACC ($M)</t>
  </si>
  <si>
    <t xml:space="preserve">PV total demand, 2026-2045 @ 4.5% WACC (GWh)</t>
  </si>
  <si>
    <t xml:space="preserve">SLCOE, hourly-verified RPS-compliance trajectory ($/MWh)</t>
  </si>
  <si>
    <t xml:space="preserve">For comparison: Scenario1 (annual model, CF-based sizing) SLCOE = $51.67/MWh -- the ~24.5% gap is the quantified</t>
  </si>
  <si>
    <t xml:space="preserve">cost of CF-based sizing's structural overbuild relative to genuine hourly-verified dispatch (see Appendix N.6-N.7).</t>
  </si>
  <si>
    <t xml:space="preserve">Scenario 3 — Hourly-Verified, RPS-Compliance Trajectory (2026-2045)</t>
  </si>
  <si>
    <t xml:space="preserve">Same methodology as Scenario1, with Scenario 3's DSM-adjusted demand</t>
  </si>
  <si>
    <t xml:space="preserve">METHODOLOGY NOTE</t>
  </si>
  <si>
    <t xml:space="preserve">Identical methodology to Scenario1 -- see that tab for full detail. Only change: hourly demand is Scenario 3's DSM-adjusted</t>
  </si>
  <si>
    <t xml:space="preserve">demand, not Scenario 1's raw demand. Same weather year (2016-17), same RPS-aligned gas schedule per checkpoint, same full re-solve at</t>
  </si>
  <si>
    <t xml:space="preserve">current cost assumptions (solar CAPEX $1,474/kW 2026 base, O&amp;M $24/kW-yr), same piecewise-linear interpolation throughout (including</t>
  </si>
  <si>
    <t xml:space="preserve">solar -- not smoothed, consistent with the fix applied after Scenario 1's spline-overshoot bug).</t>
  </si>
  <si>
    <t xml:space="preserve">FULL 2026-2045 ANNUAL STREAM (piecewise-linear interpolated)</t>
  </si>
  <si>
    <t xml:space="preserve">For comparison: Scenario3 (annual model, CF-based sizing) SLCOE = $49.11/MWh; Scenario1 = $39.03/MWh; Scenario1B = $37.60/MWh.</t>
  </si>
  <si>
    <t xml:space="preserve">Scenario 2 — Base Case (Deloitte gas price), Hourly-Verified (2026-2045)</t>
  </si>
  <si>
    <t xml:space="preserve">First of three gas-price tiers (Low/EIA and High/Hughes-Post Carbon Institute 2021 to follow)</t>
  </si>
  <si>
    <t xml:space="preserve">STRUCTURALLY DIFFERENT from Scenario1/3. Solar and storage are NOT decision variables here -- they are fixed at a linear buildout:</t>
  </si>
  <si>
    <t xml:space="preserve">solar/wind ramps to the 16,100 MW statutory floor by 2035 (Va. Code SS56-585.5(D)(2)), then holds flat; both storage types (sodium-ion 16,000 MW,</t>
  </si>
  <si>
    <t xml:space="preserve">iron-air 3,480 MW LDES, Va. HB895/SB448) ramp linearly all the way to their own 2045 target, with no flat period. CCGT capacity is sized</t>
  </si>
  <si>
    <t xml:space="preserve">DIRECTLY to cover each checkpoint's worst single hourly gap (demand minus nuclear, existing solar, CVOW wind, and the VCEA solar target),</t>
  </si>
  <si>
    <t xml:space="preserve">crediting storage with ZERO contribution -- a deliberately conservative simplification, not a full optimization of CCGT size jointly with</t>
  </si>
  <si>
    <t xml:space="preserve">storage pre-positioning (that would require its own small LP and was set aside to conserve session budget). Only dispatch is optimized by the LP:</t>
  </si>
  <si>
    <t xml:space="preserve">given fixed capacities, when to run gas vs. storage each hour. Gas price is Deloitte's published path ($3.70/MMBtu 2026 -&gt; $5.40 (2030) -&gt;</t>
  </si>
  <si>
    <t xml:space="preserve">$6.35 (2040) -&gt; $7.50 (2050, extrapolated beyond Deloitte's own published figure)), converted to $/MWh via a 6.4 MMBtu/MWh heat rate, plus</t>
  </si>
  <si>
    <t xml:space="preserve">$3/MWh CCGT variable O&amp;M. Sodium-ion duration assumed at 4 hours (NREL ATB standard reference) -- unlike Scenarios 1/3, nothing in the source</t>
  </si>
  <si>
    <t xml:space="preserve">assumptions specifies a duration for Scenario 2's fixed MW storage target, so this had to be assumed, not derived. Iron-air stays at the</t>
  </si>
  <si>
    <t xml:space="preserve">100-hour duration used consistently throughout this project.</t>
  </si>
  <si>
    <t xml:space="preserve">CRITICAL CORRECTION, disclosed rather than silently fixed: an earlier version of this solve included export capability, carried over from the</t>
  </si>
  <si>
    <t xml:space="preserve">Scenario1/3 formulation without reconsidering whether it belonged here. Verified diagnosis: with export enabled, the LP ran CCGT as a merchant</t>
  </si>
  <si>
    <t xml:space="preserve">generator purely for arbitrage (identical ~$2,759M export revenue at every checkpoint regardless of demand or clean capacity was the tell), not</t>
  </si>
  <si>
    <t xml:space="preserve">as a byproduct of serving load -- confirmed by re-solving with export enabled and checking curtailment: zero curtailment at every checkpoint</t>
  </si>
  <si>
    <t xml:space="preserve">even without an export outlet, meaning clean generation never actually exceeded local demand -- the export was 100% arbitrage, not overgeneration.</t>
  </si>
  <si>
    <t xml:space="preserve">Export has been removed entirely (bounded to zero) in this corrected version; gas dispatch is now ~40-53% lower than the uncorrected version.</t>
  </si>
  <si>
    <t xml:space="preserve">All four checkpoints re-verified after the fix: zero unserved energy AND zero curtailment throughout.</t>
  </si>
  <si>
    <t xml:space="preserve">CHECKPOINT SIZING (LP-solved dispatch; capacities fixed externally per methodology note)</t>
  </si>
  <si>
    <t xml:space="preserve">CCGT MW</t>
  </si>
  <si>
    <t xml:space="preserve">Gas GWh</t>
  </si>
  <si>
    <t xml:space="preserve">Gas Rate $/MWh</t>
  </si>
  <si>
    <t xml:space="preserve">FULL 2026-2045 ANNUAL STREAM (piecewise-linear interpolated; includes solar+storage+CCGT capex/O&amp;M and gas fuel cost)</t>
  </si>
  <si>
    <t xml:space="preserve">SLCOE, Scenario 2 base case (Deloitte gas), hourly-verified ($/MWh)</t>
  </si>
  <si>
    <t xml:space="preserve">For comparison: Scenario1 = $39.03/MWh; Scenario3 = $30.97/MWh. Low (EIA) and High (Hughes/Post</t>
  </si>
  <si>
    <t xml:space="preserve">Carbon Institute, 2021 -- less current, to be caveated) gas-price tiers not yet built; this tab covers the Deloitte base case only.</t>
  </si>
  <si>
    <t xml:space="preserve">Scenario 3B — Mostly-RPS-Compliant, Flat at 95% (Hourly-Verified, 2026-2045)</t>
  </si>
  <si>
    <t xml:space="preserve">Follows the real RPS schedule like Scenario 3, except gas is floored at 5% rather than continuing to ~0% by 2045</t>
  </si>
  <si>
    <t xml:space="preserve">3B is NOT a flat-5%-throughout scenario (that would badly overstate its stringency in early years -- see the 2030 sanity-check discussion:</t>
  </si>
  <si>
    <t xml:space="preserve">the real RPS-required gas allowance in 2030 is 46.15%, far more permissive than a flat 5% cap would imply). Instead, 3B follows Dominion's</t>
  </si>
  <si>
    <t xml:space="preserve">actual RPS schedule exactly, year by year, UNTIL that schedule would require going below 5% gas -- at which point it holds flat at 5%</t>
  </si>
  <si>
    <t xml:space="preserve">rather than continuing toward RPS's eventual ~100% (0.1% gas) requirement. Since RPS itself puts 2044 at 95% clean (5% gas) already, and</t>
  </si>
  <si>
    <t xml:space="preserve">2045 at 100% (which 3B refuses to follow), the entire 2044.5 blended terminal checkpoint correctly uses a flat 5% cap.</t>
  </si>
  <si>
    <t xml:space="preserve">PRACTICAL CONSEQUENCE: the 2030, 2035, and 2040 checkpoints are IDENTICAL to Scenario 3's own RPS-realistic solves (59%, 41%, and</t>
  </si>
  <si>
    <t xml:space="preserve">17.25% gas respectively -- all well above the 5% floor, so RPS is the binding constraint, not 3B's cap) -- reused directly, not re-solved.</t>
  </si>
  <si>
    <t xml:space="preserve">Only the 2044.5 terminal checkpoint required a new solve, at a flat 5% cap instead of Scenario 3s 0% terminal. Same current-cost assumptions</t>
  </si>
  <si>
    <t xml:space="preserve">throughout (solar CAPEX $1,474/kW 2026 base, O&amp;M $24/kW-yr), same piecewise-linear interpolation for all physical quantities (not smoothed),</t>
  </si>
  <si>
    <t xml:space="preserve">same PV methodology (2026-2045, 4.5% WACC) as every other Hourly-verified tab in this workbook.</t>
  </si>
  <si>
    <t xml:space="preserve">Constraint</t>
  </si>
  <si>
    <t xml:space="preserve">RPS (46.15%)</t>
  </si>
  <si>
    <t xml:space="preserve">RPS (33.56%)</t>
  </si>
  <si>
    <t xml:space="preserve">RPS (17.25%)</t>
  </si>
  <si>
    <t xml:space="preserve">2045 (Apr 2045-Mar 2046, 5% gas)</t>
  </si>
  <si>
    <t xml:space="preserve">3B floor (5%)</t>
  </si>
  <si>
    <t xml:space="preserve">SLCOE, Scenario 3B, hourly-verified ($/MWh)</t>
  </si>
  <si>
    <t xml:space="preserve">For comparison: Scenario1 = $39.03/MWh; Scenario1B = $37.60/MWh; Scenario3 = $38.17/MWh; Scenario2_Base (Deloitte) = $46.85/MWh.</t>
  </si>
  <si>
    <t xml:space="preserve">3B comes in below Scenario 3 because it never pays for the expensive final approach toward ~100% clean that Scenario 3 requires by 2044/45.</t>
  </si>
  <si>
    <t xml:space="preserve">Scenario 3C -- Unconstrained, Cost-Optimized Gas/Clean Mix (2026-2045)</t>
  </si>
  <si>
    <t xml:space="preserve">NOT an RPS-compliance scenario -- no RPS gas cap applied. See full methodology note at bottom of sheet.</t>
  </si>
  <si>
    <t xml:space="preserve">METHODOLOGY NOTE (SHORT, CORRECTED -- see full note below row 47 for complete detail)</t>
  </si>
  <si>
    <t xml:space="preserve">RPS gas-share constraint removed; gas-sourced export disabled. Gas dispatch capped at the data-verified EXISTING Dominion gas</t>
  </si>
  <si>
    <t xml:space="preserve">fleet capacity (time-varying as plants retire) -- NOT unconstrained. CORRECTED from an earlier version that allowed unlimited</t>
  </si>
  <si>
    <t xml:space="preserve">gas dispatch, self-contradictory since it implied new gas builds while claiming zero CAPEX. Substantial new solar/storage IS</t>
  </si>
  <si>
    <t xml:space="preserve">cost-justified once gas is properly capped. SLCOE = $53.11/MWh -- now the HIGHEST of all six scenarios, not the lowest.</t>
  </si>
  <si>
    <t xml:space="preserve">SLCOE, Scenario 3C (cost-optimized gas/clean mix, gas capped at data-verified existing fleet capacity), hourly-verified ($/MWh)</t>
  </si>
  <si>
    <t xml:space="preserve">FULL METHODOLOGY NOTE (CORRECTED VERSION)</t>
  </si>
  <si>
    <t xml:space="preserve">PRIOR VERSION, NOW SUPERSEDED: an earlier build of this scenario allowed unconstrained gas dispatch (SLCOE=$23.45/MWh),</t>
  </si>
  <si>
    <t xml:space="preserve">discovered to be self-contradictory -- it required gas capacity far exceeding any plausible existing fleet (peak dispatch</t>
  </si>
  <si>
    <t xml:space="preserve">13,966-17,429 MW across checkpoints) while simultaneously assuming zero CAPEX, appropriate only for already-existing,</t>
  </si>
  <si>
    <t xml:space="preserve">sunk capacity. This version corrects that by capping gas at a data-verified existing-fleet capacity instead.</t>
  </si>
  <si>
    <t xml:space="preserve">EXISTING GAS FLEET, DATA SOURCES: 7 plants identified via EIA plant listings (Chesterfield, Bear Garden, Brunswick County,</t>
  </si>
  <si>
    <t xml:space="preserve">Greensville, Warren County, Gordonsville, Tenaska Virginia). Commissioning dates and capacity cross-checked directly</t>
  </si>
  <si>
    <t xml:space="preserve">against each plant's own EIA monthly generation history (not just secondary-source nameplate figures). 30-year CCGT</t>
  </si>
  <si>
    <t xml:space="preserve">lifespan assumption applied (user-selected -- cycling-driven thermal stress shortens effective life vs. steady baseload</t>
  </si>
  <si>
    <t xml:space="preserve">operation). RESULT VALIDATED AGAINST ACTUAL DATA: Gordonsville's generation data stops Dec 2024 (no 2025-2026 records) --</t>
  </si>
  <si>
    <t xml:space="preserve">consistent with actual retirement near its formula-predicted 2024 date. Chesterfield's formula-predicted 2020 retirement</t>
  </si>
  <si>
    <t xml:space="preserve">is directly CONTRADICTED by data (still generating through May 2026) -- treated as still operating through the full</t>
  </si>
  <si>
    <t xml:space="preserve">window rather than forcing an unsourced retirement date.</t>
  </si>
  <si>
    <t xml:space="preserve">TIME-VARYING CAPACITY SCHEDULE USED: 2026-2030: 7,447.6 MW | 2035-2040: 6,472.6 MW (Tenaska Virginia retires ~2034) |</t>
  </si>
  <si>
    <t xml:space="preserve">2045: 4,410.6 MW (Bear Garden ~2041, Warren County ~2044 also retired by this point).</t>
  </si>
  <si>
    <t xml:space="preserve">NOT MODELED, disclosed limitation: new gas capacity additions (e.g., Chesterfield's own proposed, NOT YET SCC-approved 4</t>
  </si>
  <si>
    <t xml:space="preserve">other future builds) are excluded by this scenario's own design -- 3C specifically asks "what if only EXISTING capacity</t>
  </si>
  <si>
    <t xml:space="preserve">is available, at zero CAPEX." A scenario allowing new gas builds at their own real CAPEX would be a different, separate</t>
  </si>
  <si>
    <t xml:space="preserve">question from what 3C is built to answer.</t>
  </si>
  <si>
    <t xml:space="preserve">RESULT: substantial new solar/storage is cost-justified once gas is properly capped -- new solar ranges 38,211 MW (2030) to</t>
  </si>
  <si>
    <t xml:space="preserve">90,140 MW (2045), with iron-air activating even at the 2030 checkpoint (545,832 MWh), unlike every RPS-driven scenario</t>
  </si>
  <si>
    <t xml:space="preserve">where iron-air stayed at zero until the terminal, 100%-clean checkpoint. SLCOE = $53.11/MWh -- now the HIGHEST of all six</t>
  </si>
  <si>
    <t xml:space="preserve">scenarios, a genuine reversal from the prior, flawed version's $23.45/MWh (the lowest). This says something real: an</t>
  </si>
  <si>
    <t xml:space="preserve">unguided, capacity-constrained cost optimization without RPS structure or export monetization can be MORE expensive than</t>
  </si>
  <si>
    <t xml:space="preserve">the policy-driven scenarios, not automatically cheaper -- worth treating as a genuine finding, not an expected result.</t>
  </si>
  <si>
    <t xml:space="preserve">Scenario 2 — Low Case (EIA gas price), Hourly-Verified (2026-2045)</t>
  </si>
  <si>
    <t xml:space="preserve">Second of three gas-price tiers. Identical to Scenario2_Base except gas price path; see that tab for full structural methodology.</t>
  </si>
  <si>
    <t xml:space="preserve">All physical capacities (solar, storage, CCGT) and gas DISPATCH VOLUMES (GWh) are IDENTICAL to Scenario2_Base -- not re-solved. This is a real</t>
  </si>
  <si>
    <t xml:space="preserve">mathematical property of this formulation, not an approximation: storage carries zero marginal cost in the objective and export is bounded to</t>
  </si>
  <si>
    <t xml:space="preserve">zero, so the LP always prefers free storage over any positive-cost gas dispatch REGARDLESS of the specific gas price. Only the resulting cost</t>
  </si>
  <si>
    <t xml:space="preserve">changes with price, not the dispatch pattern itself. Gas price: EIA reference path ($3.70/MMBtu 2026 -&gt; $3.80 (2030) -&gt; $4.20 (2040) -&gt; $4.95</t>
  </si>
  <si>
    <t xml:space="preserve">(2050)), converted to $/MWh via the same 6.4 MMBtu/MWh heat rate, plus $3/MWh CCGT variable O&amp;M.</t>
  </si>
  <si>
    <t xml:space="preserve">CHECKPOINT GAS PRICING (physical build sizes identical to Scenario2_Base -- see that tab)</t>
  </si>
  <si>
    <t xml:space="preserve">Gas GWh (=Base)</t>
  </si>
  <si>
    <t xml:space="preserve">EIA Rate $/MWh</t>
  </si>
  <si>
    <t xml:space="preserve">SLCOE, Scenario 2 Low case (EIA gas), hourly-verified ($/MWh)</t>
  </si>
  <si>
    <t xml:space="preserve">For comparison: Scenario2_Base (Deloitte) = $46.85/MWh. High (Hughes/Post Carbon Institute, 2021 -- less current,</t>
  </si>
  <si>
    <t xml:space="preserve">to be caveated) tier not yet built.</t>
  </si>
  <si>
    <t xml:space="preserve">Hughes Rate $/MWh</t>
  </si>
  <si>
    <t xml:space="preserve">SLCOE, Scenario 2 High case (Hughes/Post Carbon Institute gas), hourly-verified ($/MWh)</t>
  </si>
  <si>
    <t xml:space="preserve">For comparison: Scenario2_Base (Deloitte) = $46.85/MWh; Scenario2_Low (EIA) = $41.07/MWh.</t>
  </si>
  <si>
    <t xml:space="preserve">IMPORTANT, COUNTERINTUITIVE RESULT -- read before citing: Scenario2_High's PV-weighted SLCOE ($46.85/MWh) is virtually identical to Scenario2_Base's ($46.85/MWh), NOT clearly higher as the "High" label might suggest. This is a real, correct consequence of the underlying gas-price shape, not an error: Hughes/Post Carbon Institute's compound-growth trajectory starts BELOW both Deloitte and EIA in 2026 (its own sourced starting point, $3.50/MMBtu, is lower than the shared $3.70 baseline) and does not overtake Deloitte until somewhere between 2035-2040. Combined with PV discounting, which weights near-term years far more heavily than later ones, the years where Hughes prices below Deloitte substantially offset the years where it prices above -- leaving the PV-weighted total nearly unchanged versus Medium, even though Hughes reaches $57/MWh by 2045 versus Deloitte's $44/MWh at the same year (see checkpoint gas pricing table above). Anyone citing this figure as "the high case" should be aware it does not mean "higher cost throughout" -- only "higher cost in later years, roughly offset by lower cost in earlier years."</t>
  </si>
  <si>
    <t xml:space="preserve">Scenario 1B — Mostly-RPS-Compliant, Flat at 95% (Hourly-Verified, 2026-2045)</t>
  </si>
  <si>
    <t xml:space="preserve">Same definition as Scenario 3B, without DSM demand -- see that tab for full methodology</t>
  </si>
  <si>
    <t xml:space="preserve">Identical structure to Scenario3B_HourlyRPS: follows Dominion's actual RPS schedule year by year until it would require going below 5%</t>
  </si>
  <si>
    <t xml:space="preserve">gas, then holds flat at 5% rather than continuing to ~100% by 2045. Uses Scenario 1's raw (non-DSM) demand throughout.</t>
  </si>
  <si>
    <t xml:space="preserve">2030, 2035, and 2040 are IDENTICAL to Scenario 1's own RPS-realistic solves (59%, 41%, and 21% gas respectively -- all well above</t>
  </si>
  <si>
    <t xml:space="preserve">the 5% floor, so RPS is the binding constraint, not this scenario's cap) -- reused directly, not re-solved. Only the 2044.5 terminal</t>
  </si>
  <si>
    <t xml:space="preserve">checkpoint required a new solve, at a flat 5% cap instead of Scenario 1s 0% terminal.</t>
  </si>
  <si>
    <t xml:space="preserve">CORRECTION NOTE: an earlier attempt at this tab used a flat 5% cap at every checkpoint including 2030-2040, which badly overstates</t>
  </si>
  <si>
    <t xml:space="preserve">stringency in those years (RPS's actual 2030 requirement is 46.34% gas, far more permissive). This was caught by the same sanity check</t>
  </si>
  <si>
    <t xml:space="preserve">that first caught it for 3B, and corrected the same way before this tab was built -- the flawed version was never captured to the workbook.</t>
  </si>
  <si>
    <t xml:space="preserve">RPS (46.34%)</t>
  </si>
  <si>
    <t xml:space="preserve">RPS (33.79%)</t>
  </si>
  <si>
    <t xml:space="preserve">RPS (17.40%)</t>
  </si>
  <si>
    <t xml:space="preserve">1B floor (5%)</t>
  </si>
  <si>
    <t xml:space="preserve">SLCOE, Scenario 1B, hourly-verified ($/MWh)</t>
  </si>
  <si>
    <t xml:space="preserve">For comparison: Scenario1 = $39.03/MWh; Scenario3B = $26.53/MWh.</t>
  </si>
  <si>
    <t xml:space="preserve">DER Owner Economics — Rooftop &amp; Parking-Lot Solar Owner NPV</t>
  </si>
  <si>
    <t xml:space="preserve">Extracted from the former Scenario3 annual-model tab (now deleted) — independent of CF%-based system sizing</t>
  </si>
  <si>
    <t xml:space="preserve">METHODOLOGY NOTE: uses simple annual capacity-factor estimates for individual DER unit generation (legitimate, per scope confirmation),</t>
  </si>
  <si>
    <t xml:space="preserve">not system-level sizing. Wholesale energy-price input corrected during extraction: real hourly-data-derived duck-curve discount (11.4%,</t>
  </si>
  <si>
    <t xml:space="preserve">from the LP-derived price shape) replaces an old flat 40% guess -- $55.80/MWh now, was $37.80/MWh. See row 183 comment for full detail.</t>
  </si>
  <si>
    <t xml:space="preserve">SECTION H — OWNER-SIDE ECONOMICS: PRESENT-VALUE RETURN FOR ROOFTOP &amp; PARKING-LOT ASSET OWNERS (per kW-AC installed, capital+O&amp;M borne by owners, not the utility)</t>
  </si>
  <si>
    <t xml:space="preserve">Owners are compensated at the SAME wholesale-equivalent VPP energy + capacity rate the utility pays out in Section F above (i.e. full VPP/wholesale-market participation, not simple net metering).</t>
  </si>
  <si>
    <t xml:space="preserve">--- ROOFTOP (blended 60% residential / 40% commercial &amp; industrial) ---</t>
  </si>
  <si>
    <t xml:space="preserve">Rooftop installed cost ($/W-AC)</t>
  </si>
  <si>
    <t xml:space="preserve">Effective blended incentive credit (ITC + MACRS PV benefit, % of capex) [2026-VINTAGE ONLY -- see comment]</t>
  </si>
  <si>
    <t xml:space="preserve">Rooftop O&amp;M ($/kW-yr)</t>
  </si>
  <si>
    <t xml:space="preserve">Owner discount rate (blended residential/small-C&amp;I)</t>
  </si>
  <si>
    <t xml:space="preserve">--- PARKING LOT / CARPORT (assumed 100% commercial &amp; industrial ownership) ---</t>
  </si>
  <si>
    <t xml:space="preserve">Parking-lot/carport installed cost ($/W-AC)</t>
  </si>
  <si>
    <t xml:space="preserve">Effective incentive credit (ITC + MACRS PV benefit, % of capex) [2026-VINTAGE ONLY -- see comment]</t>
  </si>
  <si>
    <t xml:space="preserve">Parking-lot O&amp;M ($/kW-yr)</t>
  </si>
  <si>
    <t xml:space="preserve">Owner discount rate (C&amp;I hurdle rate)</t>
  </si>
  <si>
    <t xml:space="preserve">Per-kW-AC annual cash flow (constant, using year-1 CF/price conventions; net revenue varies by year via export price/capacity price/generation profile below)</t>
  </si>
  <si>
    <t xml:space="preserve">Solar capacity factor (%) [linked]</t>
  </si>
  <si>
    <t xml:space="preserve">Generation per kW-AC (MWh/kW-yr)</t>
  </si>
  <si>
    <t xml:space="preserve">Wholesale-equivalent energy price ($/MWh) [linked]</t>
  </si>
  <si>
    <t xml:space="preserve">Capacity payment per kW-AC-yr ($/kW-yr)</t>
  </si>
  <si>
    <t xml:space="preserve">ROOFTOP owner: annual revenue, cost, net cash flow, PV ($/kW-AC)</t>
  </si>
  <si>
    <t xml:space="preserve">Rooftop annual revenue ($/kW)</t>
  </si>
  <si>
    <t xml:space="preserve">Rooftop annual O&amp;M cost ($/kW)</t>
  </si>
  <si>
    <t xml:space="preserve">Rooftop net annual cash flow ($/kW)</t>
  </si>
  <si>
    <t xml:space="preserve">Rooftop discount factor</t>
  </si>
  <si>
    <t xml:space="preserve">Rooftop PV of net cash flow ($/kW)</t>
  </si>
  <si>
    <t xml:space="preserve">PARKING LOT owner: annual revenue, cost, net cash flow, PV ($/kW-AC)</t>
  </si>
  <si>
    <t xml:space="preserve">Parking-lot annual revenue ($/kW)</t>
  </si>
  <si>
    <t xml:space="preserve">Parking-lot annual O&amp;M cost ($/kW)</t>
  </si>
  <si>
    <t xml:space="preserve">Parking-lot net annual cash flow ($/kW)</t>
  </si>
  <si>
    <t xml:space="preserve">Parking-lot discount factor</t>
  </si>
  <si>
    <t xml:space="preserve">Parking-lot PV of net cash flow ($/kW)</t>
  </si>
  <si>
    <t xml:space="preserve">OWNER RETURN SUMMARY (per kW-AC installed)</t>
  </si>
  <si>
    <t xml:space="preserve">Rooftop: Gross installed cost ($/kW)</t>
  </si>
  <si>
    <t xml:space="preserve">Rooftop: Net cost after incentives ($/kW)</t>
  </si>
  <si>
    <t xml:space="preserve">Rooftop: 25-yr PV of net cash flows ($/kW)</t>
  </si>
  <si>
    <t xml:space="preserve">ROOFTOP OWNER — NET PRESENT VALUE ($/kW-AC)</t>
  </si>
  <si>
    <t xml:space="preserve">Rooftop: simple payback (years, undiscounted)</t>
  </si>
  <si>
    <t xml:space="preserve">Parking Lot: Gross installed cost ($/kW)</t>
  </si>
  <si>
    <t xml:space="preserve">Parking Lot: Net cost after incentives ($/kW)</t>
  </si>
  <si>
    <t xml:space="preserve">Parking Lot: 25-yr PV of net cash flows ($/kW)</t>
  </si>
  <si>
    <t xml:space="preserve">PARKING LOT OWNER — NET PRESENT VALUE ($/kW-AC)</t>
  </si>
  <si>
    <t xml:space="preserve">Parking Lot: simple payback (years, undiscounted)</t>
  </si>
  <si>
    <t xml:space="preserve">SECTION I — SENSITIVITY: HYPOTHETICAL VIRGINIA 'LOCATIONAL/DISTRIBUTION-DEFERRAL VALUE' ADDER</t>
  </si>
  <si>
    <t xml:space="preserve">Virginia currently has NO equivalent of this mechanism -- this section models 'what if VA adopted something like New York's VDER Locational System</t>
  </si>
  <si>
    <t xml:space="preserve">Relief Value (LSRV)', which pays DER owners an EXTRA, location-specific bill credit for siting in areas where they measurably help the utility</t>
  </si>
  <si>
    <t xml:space="preserve">defer or avoid a specific distribution-capacity investment (i.e., the exact 'avoided generating/grid capacity' benefit you asked about). This is</t>
  </si>
  <si>
    <t xml:space="preserve">layered ON TOP of the Section H base case above, which is left completely unchanged -- both are shown so you can see exactly what this policy</t>
  </si>
  <si>
    <t xml:space="preserve">lever would be worth if VA had it. Full sourcing and methodology notes are in the Assumptions &amp; Sources tab.</t>
  </si>
  <si>
    <t xml:space="preserve">LSRV-style adder rate ($/kW-yr)</t>
  </si>
  <si>
    <t xml:space="preserve">LSRV-style adder duration (years from in-service)</t>
  </si>
  <si>
    <t xml:space="preserve">Share of capacity in qualifying (urban/high-demand) locations</t>
  </si>
  <si>
    <t xml:space="preserve">LSRV-style adder revenue, per kW-AC of TOTAL capacity ($/kW-yr)</t>
  </si>
  <si>
    <t xml:space="preserve">ROOFTOP owner WITH LSRV-style adder ($/kW-AC)</t>
  </si>
  <si>
    <t xml:space="preserve">Rooftop annual revenue incl. adder ($/kW)</t>
  </si>
  <si>
    <t xml:space="preserve">Rooftop net annual cash flow incl. adder ($/kW)</t>
  </si>
  <si>
    <t xml:space="preserve">Rooftop PV of net cash flow incl. adder ($/kW)</t>
  </si>
  <si>
    <t xml:space="preserve">PARKING LOT owner WITH LSRV-style adder ($/kW-AC)</t>
  </si>
  <si>
    <t xml:space="preserve">Parking-lot annual revenue incl. adder ($/kW)</t>
  </si>
  <si>
    <t xml:space="preserve">Parking-lot net annual cash flow incl. adder ($/kW)</t>
  </si>
  <si>
    <t xml:space="preserve">Parking-lot PV of net cash flow incl. adder ($/kW)</t>
  </si>
  <si>
    <t xml:space="preserve">LSRV-STYLE ADDER — OWNER RETURN SUMMARY (per kW-AC installed)</t>
  </si>
  <si>
    <t xml:space="preserve">Rooftop: 25-yr PV of net cash flows incl. LSRV-style adder ($/kW)</t>
  </si>
  <si>
    <t xml:space="preserve">ROOFTOP OWNER W/ LSRV-STYLE ADDER — NET PRESENT VALUE ($/kW-AC)</t>
  </si>
  <si>
    <t xml:space="preserve">Rooftop: NPV improvement from LSRV-style adder vs. base case ($/kW)</t>
  </si>
  <si>
    <t xml:space="preserve">Parking Lot: 25-yr PV of net cash flows incl. LSRV-style adder ($/kW)</t>
  </si>
  <si>
    <t xml:space="preserve">PARKING LOT OWNER W/ LSRV-STYLE ADDER — NET PRESENT VALUE ($/kW-AC)</t>
  </si>
  <si>
    <t xml:space="preserve">Parking Lot: NPV improvement from LSRV-style adder vs. base case ($/kW)</t>
  </si>
  <si>
    <t xml:space="preserve">SECTION J — RECOMMENDED VA PROGRAM (consolidated 'best estimate' policy combination -- distinct from both the base case above and the individual sensitivities)</t>
  </si>
  <si>
    <t xml:space="preserve">This tier consolidates every individually-researched policy lever into ONE decision-ready combination, per your explicit direction to 'nail down' these features rather than</t>
  </si>
  <si>
    <t xml:space="preserve">leave them as an open-ended menu. Component-by-component status: ENERGY (linked to Scenario 1's export price, same as base case) -- REAL, current methodology. CAPACITY --</t>
  </si>
  <si>
    <t xml:space="preserve">storage uses UNDIMINISHED (100%, non-ELCC-derated) crediting, consistent with your 'VDER approach' decision that a state retail incentive program has no obligation to</t>
  </si>
  <si>
    <t xml:space="preserve">mirror PJM's wholesale reliability-accreditation math; solar capacity STILL uses the PJM-ELCC schedule (that decision was storage-specific only) -- HYPOTHETICAL for the</t>
  </si>
  <si>
    <t xml:space="preserve">storage portion, no VA equivalent exists today. LOCATIONAL -- LSRV-style adder, referenced directly from Section I above (not duplicated) -- HYPOTHETICAL, imported from NY.</t>
  </si>
  <si>
    <t xml:space="preserve">ENVIRONMENTAL -- Virginia's own Distributed REC market, current spot price -- REAL, current law, no import needed. EVENT-BASED -- NY DRV's annual-equivalent rate</t>
  </si>
  <si>
    <t xml:space="preserve">($50.59/kW-yr, computed from real DOM load data against DRV's actual mechanism), selected over MA ConnectedSolutions and CA/MD (neither of which had a usable comparable</t>
  </si>
  <si>
    <t xml:space="preserve">rate -- CA's SGIP is a capital rebate, not ongoing compensation, and MD's own DRIVE Act programs are still in the same pre-tariff regulatory stage as Dominion's own VPP</t>
  </si>
  <si>
    <t xml:space="preserve">pilot) -- HYPOTHETICAL, imported from NY, and modeled as a flat annual-equivalent rather than DRV's true narrow-window mechanism (which the annual model cannot represent;</t>
  </si>
  <si>
    <t xml:space="preserve">true hourly-window DRV modeling belongs in a future hourly-resolved version of this scenario, not here).</t>
  </si>
  <si>
    <t xml:space="preserve">VA Distributed REC (D-REC) rate ($/MWh) -- year-varying, see note</t>
  </si>
  <si>
    <t xml:space="preserve">2026-27: ~$24.50 current spot/locked-rate baseline. 2028: ~$42.50, midpoint of three independently-sourced broker</t>
  </si>
  <si>
    <t xml:space="preserve">estimates of 60-90% revenue uplift following HB628 ("Distributed Generation Expansion Act," signed Apr 13 2026, effective Jul 1 2026,</t>
  </si>
  <si>
    <t xml:space="preserve">raising the distributed-solar carve-out from 1% to 4.5% (2026-2030) then 5% (2031-2045) OF THE RPS REQUIREMENT ITSELF -- CORRECTED, was previously described as directly of retail sales -- see comment at B258 for the true, gradually-growing effective share of total sales this implies). 2029+: $67.50 escalating 1%/yr,</t>
  </si>
  <si>
    <t xml:space="preserve">matching the VA distributed-SACP's own escalation rate (SACP = $75 base-2021 +1%/yr = $78.82 in 2026); Flett Exchange's own long-run</t>
  </si>
  <si>
    <t xml:space="preserve">See correction note</t>
  </si>
  <si>
    <t xml:space="preserve">Reversed: reliability-sized capacity cannot be credited as undiminished for a capacity-value calculation -- that conflated capacity SIZING (must reflect real ELCC) with energy SELL-BACK value (a separate, legitimate concept). See Assumptions tab.</t>
  </si>
  <si>
    <t xml:space="preserve">expectation is prices trading just below the annual SACP once the carve-out fully phases in, consistent with a $65-70 target range.</t>
  </si>
  <si>
    <t xml:space="preserve">Event-based rate, NY DRV annual-equivalent ($/kW-yr)</t>
  </si>
  <si>
    <t xml:space="preserve">[CORRECTED] Storage capacity credit now uses the real PJM-ELCC schedule, not undiminished [DISCLOSED FIX APPLIED -- see comment]</t>
  </si>
  <si>
    <t xml:space="preserve">[CORRECTED] Energy price for this tier: undiscounted base, not the 0.6x-discounted export price ($/MWh)</t>
  </si>
  <si>
    <t xml:space="preserve">Rooftop annual revenue, Recommended Program ($/kW)</t>
  </si>
  <si>
    <t xml:space="preserve">Recommended-tier capacity payment per kW-AC-yr, real PJM-ELCC storage schedule ($/kW-yr)</t>
  </si>
  <si>
    <t xml:space="preserve">Environmental/REC value per kW-AC-yr ($/kW-yr)</t>
  </si>
  <si>
    <t xml:space="preserve">ROOFTOP owner: Recommended Program annual revenue, cash flow, PV ($/kW-AC)</t>
  </si>
  <si>
    <t xml:space="preserve">Rooftop net annual cash flow, Recommended Program ($/kW)</t>
  </si>
  <si>
    <t xml:space="preserve">Rooftop PV of net cash flow, Recommended Program ($/kW)</t>
  </si>
  <si>
    <t xml:space="preserve">PARKING LOT owner: Recommended Program annual revenue, cash flow, PV ($/kW-AC)</t>
  </si>
  <si>
    <t xml:space="preserve">Parking-lot annual revenue, Recommended Program ($/kW)</t>
  </si>
  <si>
    <t xml:space="preserve">Parking-lot net annual cash flow, Recommended Program ($/kW)</t>
  </si>
  <si>
    <t xml:space="preserve">Parking-lot PV of net cash flow, Recommended Program ($/kW)</t>
  </si>
  <si>
    <t xml:space="preserve">Rooftop: NPV improvement, Recommended Program vs. base case ($/kW)</t>
  </si>
  <si>
    <t xml:space="preserve">RECOMMENDED PROGRAM — OWNER RETURN SUMMARY (per kW-AC installed)</t>
  </si>
  <si>
    <t xml:space="preserve">Rooftop: 25-yr PV of net cash flows, Recommended Program ($/kW)</t>
  </si>
  <si>
    <t xml:space="preserve">ROOFTOP OWNER, RECOMMENDED PROGRAM — NET PRESENT VALUE ($/kW-AC)</t>
  </si>
  <si>
    <t xml:space="preserve">NOTE — dominant driver: the D-REC rate correction (see row above REC rate schedule) alone accounts for ~$959/kW of this $2,925/kW total</t>
  </si>
  <si>
    <t xml:space="preserve">improvement (~33%) -- the single largest identified contributor among this section's components. This is a real, sourced correction (HB628, signed</t>
  </si>
  <si>
    <t xml:space="preserve">law), not a discretionary assumption, but given its outsized share of the result, it should be presented prominently rather than as one line among many.</t>
  </si>
  <si>
    <t xml:space="preserve">Parking Lot: 25-yr PV of net cash flows, Recommended Program ($/kW)</t>
  </si>
  <si>
    <t xml:space="preserve">PARKING LOT OWNER, RECOMMENDED PROGRAM — NET PRESENT VALUE ($/kW-AC)</t>
  </si>
  <si>
    <t xml:space="preserve">Parking Lot: NPV improvement, Recommended Program vs. base case ($/kW)</t>
  </si>
  <si>
    <t xml:space="preserve">SECTION K — SENSITIVITY: FLOOR-PRICE TRANSITION STRUCTURE FOR THE ENERGY COMPONENT (isolates JUST this mechanism against the base capacity treatment -- not combined with Section J's other changes)</t>
  </si>
  <si>
    <t xml:space="preserve">Motivated directly by New York's documented VDER experience: because the Energy Value component is tied to real hourly/monthly wholesale prices, developer revenues have</t>
  </si>
  <si>
    <t xml:space="preserve">fluctuated sharply (NYC capacity prices alone rose ~400% for the 2023/2024 capability year) -- while VDER's OTHER components (DRV, LSRV) are already fixed-rate for 10</t>
  </si>
  <si>
    <t xml:space="preserve">years specifically to avoid this. NY's own design left the Energy Value component as the one piece still fully exposed. Our own real Loudoun LMP data (Jan 2025-Aug 2026)</t>
  </si>
  <si>
    <t xml:space="preserve">shows the same risk concretely: month-to-month captured energy value (4-hr discharge) ranged from $64.60/MWh to $403.82/MWh -- a 6.25x swing, coefficient of variation 0.56.</t>
  </si>
  <si>
    <t xml:space="preserve">Proposed VA solution: an optional floor price for the energy component during a 5-year transition period (2026-2030) -- developer receives max(floor, market) -- then full</t>
  </si>
  <si>
    <t xml:space="preserve">market exposure from 2031 onward. Floor = the current base linked price (no separate judgment call needed). Market = base price x a Value Factor (VF) representing how much</t>
  </si>
  <si>
    <t xml:space="preserve">premium a well-timed battery discharge captures vs. a flat average -- CURRENTLY SET TO A PLACEHOLDER OF 1.00 (i.e. no premium) so this transition STRUCTURE can be verified</t>
  </si>
  <si>
    <t xml:space="preserve">in isolation before a real discounted VF (real Loudoun data suggests an idealized ceiling of ~2.0-2.9x, before discounting for forecast error and cannibalization at scale)</t>
  </si>
  <si>
    <t xml:space="preserve">is decided and substituted in. With VF=1.00, floor and market are identical every year, so this tier should reproduce Section H's base case EXACTLY -- a built-in structural check.</t>
  </si>
  <si>
    <t xml:space="preserve">Floor-price transition period (years from 2026)</t>
  </si>
  <si>
    <t xml:space="preserve">Value Factor for post-transition market price (PLACEHOLDER -- see note above)</t>
  </si>
  <si>
    <t xml:space="preserve">Effective energy price: max(floor, market) during transition, market only after ($/MWh)</t>
  </si>
  <si>
    <t xml:space="preserve">Market energy price = base price x VF ($/MWh)</t>
  </si>
  <si>
    <t xml:space="preserve">Rooftop annual revenue, floor structure ($/kW)</t>
  </si>
  <si>
    <t xml:space="preserve">ROOFTOP owner: floor-structure annual revenue, cash flow, PV ($/kW-AC) -- base capacity treatment, only energy term changes</t>
  </si>
  <si>
    <t xml:space="preserve">Rooftop net annual cash flow, floor structure ($/kW)</t>
  </si>
  <si>
    <t xml:space="preserve">Rooftop PV of net cash flow, floor structure ($/kW)</t>
  </si>
  <si>
    <t xml:space="preserve">Parking-lot annual revenue, floor structure ($/kW)</t>
  </si>
  <si>
    <t xml:space="preserve">PARKING LOT owner: floor-structure annual revenue, cash flow, PV ($/kW-AC)</t>
  </si>
  <si>
    <t xml:space="preserve">Parking-lot net annual cash flow, floor structure ($/kW)</t>
  </si>
  <si>
    <t xml:space="preserve">Parking-lot PV of net cash flow, floor structure ($/kW)</t>
  </si>
  <si>
    <t xml:space="preserve">FLOOR-STRUCTURE — OWNER RETURN SUMMARY (per kW-AC installed; should match Section H base case exactly while VF=1.00)</t>
  </si>
  <si>
    <t xml:space="preserve">Rooftop: 25-yr PV of net cash flows, floor structure ($/kW)</t>
  </si>
  <si>
    <t xml:space="preserve">ROOFTOP OWNER, FLOOR STRUCTURE — NET PRESENT VALUE ($/kW-AC)</t>
  </si>
  <si>
    <t xml:space="preserve">Rooftop: verification check -- should be $0 while VF=1.00 (confirms structure reduces to base case)</t>
  </si>
  <si>
    <t xml:space="preserve">PARKING LOT OWNER, FLOOR STRUCTURE — NET PRESENT VALUE ($/kW-AC)</t>
  </si>
  <si>
    <t xml:space="preserve">Parking Lot: 25-yr PV of net cash flows, floor structure ($/kW)</t>
  </si>
  <si>
    <t xml:space="preserve">Parking Lot: verification check -- should be $0 while VF=1.00 (confirms structure reduces to base case)</t>
  </si>
  <si>
    <t xml:space="preserve">ITC EXPIRATION SENSITIVITY (new -- tracker item 30)</t>
  </si>
  <si>
    <t xml:space="preserve">Post-expiration vintage (built 2028+): Section 48E ITC = 0%, per OBBBA general-rule deadline (placed in service by Dec 31, 2027)</t>
  </si>
  <si>
    <t xml:space="preserve">Rooftop: Net cost, NO ITC ($/kW)</t>
  </si>
  <si>
    <t xml:space="preserve">ROOFTOP OWNER, POST-ITC-EXPIRATION — NET PRESENT VALUE ($/kW-AC)</t>
  </si>
  <si>
    <t xml:space="preserve">Parking Lot: Net cost, NO ITC ($/kW)</t>
  </si>
  <si>
    <t xml:space="preserve">PARKING LOT OWNER, POST-ITC-EXPIRATION — NET PRESENT VALUE ($/kW-AC)</t>
  </si>
  <si>
    <t xml:space="preserve">For comparison: 2026-vintage (full ITC) NPV = row 205 (rooftop), row 211 (parking lot).</t>
  </si>
  <si>
    <t xml:space="preserve">ALTERNATIVE D-REC PRICE ESTIMATE — Expanded-Carve-Out Scenario (new, tracker item 6)</t>
  </si>
  <si>
    <t xml:space="preserve">DISTINCT from the primary Flett/RECmint-based D-REC schedule above (row 258) -- this is a separate, clearly-caveated alternative, not a replacement.</t>
  </si>
  <si>
    <t xml:space="preserve">REASONING: Our own 80/10/10 ownership split assumes 20% of a very large new-solar build is distributed generation (rooftop+parking-lot)</t>
  </si>
  <si>
    <t xml:space="preserve">-- far exceeding the current statutory carve-out (4.5% of the RPS requirement, 2026-2030; 5%, 2031-2045 -- see row 258 correction). For</t>
  </si>
  <si>
    <t xml:space="preserve">this much distributed solar to have a real market at reasonable prices, the carve-out would need legislative expansion to roughly match</t>
  </si>
  <si>
    <t xml:space="preserve">our own assumed supply -- a genuinely different question than "what does current law imply," and the reason this is tracked as a</t>
  </si>
  <si>
    <t xml:space="preserve">distinct alternative rather than a correction to the primary schedule.</t>
  </si>
  <si>
    <t xml:space="preserve">METHOD: assumes a hypothetical future carve-out expanded to match our 20% distributed-share assumption, producing a roughly BALANCED</t>
  </si>
  <si>
    <t xml:space="preserve">market (supply approx. demand) rather than the current severe undersupply. Applied the same "10-15% below SACP" heuristic Flett</t>
  </si>
  <si>
    <t xml:space="preserve">Exchange itself cites for comparable, balanced state markets (Maryland, New Jersey, DC), against Virginia's own SACP schedule (5</t>
  </si>
  <si>
    <t xml:space="preserve">base-2021, +1%/yr).</t>
  </si>
  <si>
    <t xml:space="preserve">SACP ($/MWh)</t>
  </si>
  <si>
    <t xml:space="preserve">Est. price, low ($/MWh)</t>
  </si>
  <si>
    <t xml:space="preserve">Est. price, high ($/MWh)</t>
  </si>
  <si>
    <t xml:space="preserve">CAVEATS (genuinely load-bearing, not boilerplate):</t>
  </si>
  <si>
    <t xml:space="preserve">1. Assumes the legislative carve-out expansion actually happens, AND happens roughly in step with our own buildout -- a real, uncertain</t>
  </si>
  <si>
    <t xml:space="preserve">   compound assumption, not a forecast of enacted law.</t>
  </si>
  <si>
    <t xml:space="preserve">2. This estimate lands close to Flett Exchange's own $65-70 projection -- but for an entirely different reason (a hypothetical future</t>
  </si>
  <si>
    <t xml:space="preserve">   expanded carve-out reaching balance, vs. Flett's assumed immediate demand shock under CURRENT, unexpanded law, which independent</t>
  </si>
  <si>
    <t xml:space="preserve">   verification found is itself based on an incorrect description of the carve-out mechanism -- see row 258 comment). Two different,</t>
  </si>
  <si>
    <t xml:space="preserve">   unrelated logics converging on a similar number could be coincidence or could reflect something real about market-clearing behavior;</t>
  </si>
  <si>
    <t xml:space="preserve">   this has NOT been resolved and should not be read as mutual confirmation.</t>
  </si>
  <si>
    <t xml:space="preserve">3. The 10-15% "comparable state" discount is a rough heuristic from three other states' markets, not derived from VA-specific</t>
  </si>
  <si>
    <t xml:space="preserve">   fundamentals.</t>
  </si>
  <si>
    <t xml:space="preserve">4. Says nothing about transition-period price behavior before supply and demand actually reach the assumed balance.</t>
  </si>
  <si>
    <t xml:space="preserve">VPP REVENUE FOR FIRMED (SOLAR+STORAGE) DER OWNERS (new)</t>
  </si>
  <si>
    <t xml:space="preserve">Applies ONLY to solar+storage ("firmed") systems -- solar-only DER does not qualify for VPP participation (confirmed: Dominion's own VPP pilot explicitly excludes solar-only systems, since solar is already compensated via net metering separately).</t>
  </si>
  <si>
    <t xml:space="preserve">SOURCE AND METHODOLOGY: Virginia's VPP pilot (Dominion, filed with the SCC Dec. 2025) has NOT published payment rates as of this</t>
  </si>
  <si>
    <t xml:space="preserve">writing -- expected fall 2026. This estimate is informed by ConnectedSolutions, the Massachusetts-originated program explicitly cited</t>
  </si>
  <si>
    <t xml:space="preserve">as the direct model for Virginia's own tariff design (Solar United Neighbors' model legislation). Rate used here matches New</t>
  </si>
  <si>
    <t xml:space="preserve">Hampshire's ConnectedSolutions structure specifically: $200/kW-summer + $100/kW-winter (of enrolled battery DISCHARGE capacity, not battery energy/kWh capacity, and not solar capacity).</t>
  </si>
  <si>
    <t xml:space="preserve">not battery energy/kWh capacity, and not solar capacity).</t>
  </si>
  <si>
    <t xml:space="preserve">WINTER WEIGHTING RATIONALE (this project's own judgment, not independently sourced from any real VA-specific or data-center-specific</t>
  </si>
  <si>
    <t xml:space="preserve">VPP program design): most ConnectedSolutions-family programs weight toward summer (traditional AC-driven peak) with a token or zero</t>
  </si>
  <si>
    <t xml:space="preserve">winter payment. This analysis instead uses NH's specific $200/$100 structure -- proportionally more winter-weighted than MA's</t>
  </si>
  <si>
    <t xml:space="preserve">$275/$50 -- because this project's own demand analysis (see Appendix, item 35/36 work) found Virginia's data-center-driven load</t>
  </si>
  <si>
    <t xml:space="preserve">has a genuine, strong winter peak, not just the traditional summer AC peak most other states' VPP rate designs assume.</t>
  </si>
  <si>
    <t xml:space="preserve">VPP rate, summer ($/kW-yr of battery discharge capacity)</t>
  </si>
  <si>
    <t xml:space="preserve">VPP rate, winter ($/kW-yr of battery discharge capacity)</t>
  </si>
  <si>
    <t xml:space="preserve">VPP rate, TOTAL annual ($/kW-yr of battery discharge capacity)</t>
  </si>
  <si>
    <t xml:space="preserve">Battery-to-solar pairing ratio, kW battery discharge per kW-AC solar (EXPLICIT, SEPARATE ASSUMPTION -- see comment)</t>
  </si>
  <si>
    <t xml:space="preserve">Implied VPP revenue per kW-AC of solar installed ($/kW-yr)</t>
  </si>
  <si>
    <t xml:space="preserve">NOT YET incorporated into the Section H/J NPV calculations above -- this is a standalone estimate pending a decision on how/whether to fold VPP revenue into the owner-return figures.</t>
  </si>
</sst>
</file>

<file path=xl/styles.xml><?xml version="1.0" encoding="utf-8"?>
<styleSheet xmlns="http://schemas.openxmlformats.org/spreadsheetml/2006/main">
  <numFmts count="16">
    <numFmt numFmtId="164" formatCode="General"/>
    <numFmt numFmtId="165" formatCode="\$#,##0.00"/>
    <numFmt numFmtId="166" formatCode="&quot;+$&quot;#,##0.00;&quot;-$&quot;#,##0.00"/>
    <numFmt numFmtId="167" formatCode="#,##0"/>
    <numFmt numFmtId="168" formatCode="\$#,##0"/>
    <numFmt numFmtId="169" formatCode="0.0"/>
    <numFmt numFmtId="170" formatCode="&quot;+$&quot;#,##0;&quot;-$&quot;#,##0"/>
    <numFmt numFmtId="171" formatCode="0"/>
    <numFmt numFmtId="172" formatCode="#,##0;\(#,##0\);\-"/>
    <numFmt numFmtId="173" formatCode="0.0%"/>
    <numFmt numFmtId="174" formatCode="#,##0.00;\(#,##0.00\);\-"/>
    <numFmt numFmtId="175" formatCode="\$#,##0;&quot;($&quot;#,##0\);\-"/>
    <numFmt numFmtId="176" formatCode="0.00"/>
    <numFmt numFmtId="177" formatCode="\$#,##0.0"/>
    <numFmt numFmtId="178" formatCode="General"/>
    <numFmt numFmtId="179" formatCode="\$#,##0.00;&quot;($&quot;#,##0.00\);\-"/>
  </numFmts>
  <fonts count="43">
    <font>
      <sz val="11"/>
      <color theme="1"/>
      <name val="Calibri"/>
      <family val="2"/>
      <charset val="1"/>
    </font>
    <font>
      <sz val="10"/>
      <name val="Arial"/>
      <family val="0"/>
    </font>
    <font>
      <sz val="10"/>
      <name val="Arial"/>
      <family val="0"/>
    </font>
    <font>
      <sz val="10"/>
      <name val="Arial"/>
      <family val="0"/>
    </font>
    <font>
      <b val="true"/>
      <sz val="16"/>
      <name val="Arial"/>
      <family val="0"/>
      <charset val="1"/>
    </font>
    <font>
      <i val="true"/>
      <sz val="11"/>
      <name val="Arial"/>
      <family val="0"/>
      <charset val="1"/>
    </font>
    <font>
      <b val="true"/>
      <sz val="10"/>
      <name val="Arial"/>
      <family val="0"/>
      <charset val="1"/>
    </font>
    <font>
      <sz val="10"/>
      <name val="Arial"/>
      <family val="0"/>
      <charset val="1"/>
    </font>
    <font>
      <b val="true"/>
      <sz val="16"/>
      <color rgb="FF1F3864"/>
      <name val="Calibri"/>
      <family val="0"/>
      <charset val="1"/>
    </font>
    <font>
      <sz val="10"/>
      <name val="Calibri"/>
      <family val="0"/>
      <charset val="1"/>
    </font>
    <font>
      <b val="true"/>
      <sz val="10"/>
      <name val="Calibri"/>
      <family val="0"/>
      <charset val="1"/>
    </font>
    <font>
      <i val="true"/>
      <sz val="9"/>
      <name val="Calibri"/>
      <family val="0"/>
      <charset val="1"/>
    </font>
    <font>
      <sz val="9"/>
      <color rgb="FF555555"/>
      <name val="Calibri"/>
      <family val="0"/>
      <charset val="1"/>
    </font>
    <font>
      <b val="true"/>
      <sz val="10"/>
      <color rgb="FFFFFFFF"/>
      <name val="Calibri"/>
      <family val="0"/>
      <charset val="1"/>
    </font>
    <font>
      <b val="true"/>
      <sz val="10"/>
      <name val="Cambria"/>
      <family val="0"/>
      <charset val="1"/>
    </font>
    <font>
      <sz val="10"/>
      <name val="Cambria"/>
      <family val="0"/>
      <charset val="1"/>
    </font>
    <font>
      <sz val="10"/>
      <name val="Arial"/>
      <family val="2"/>
    </font>
    <font>
      <sz val="9"/>
      <name val="Arial"/>
      <family val="0"/>
      <charset val="1"/>
    </font>
    <font>
      <b val="true"/>
      <sz val="9"/>
      <color rgb="FF0000FF"/>
      <name val="Arial"/>
      <family val="0"/>
      <charset val="1"/>
    </font>
    <font>
      <i val="true"/>
      <sz val="8"/>
      <color rgb="FF555555"/>
      <name val="Arial"/>
      <family val="0"/>
      <charset val="1"/>
    </font>
    <font>
      <sz val="8"/>
      <color rgb="FF555555"/>
      <name val="Arial"/>
      <family val="0"/>
      <charset val="1"/>
    </font>
    <font>
      <b val="true"/>
      <sz val="9"/>
      <name val="Arial"/>
      <family val="0"/>
      <charset val="1"/>
    </font>
    <font>
      <b val="true"/>
      <sz val="11"/>
      <color rgb="FFFFFFFF"/>
      <name val="Arial"/>
      <family val="0"/>
      <charset val="1"/>
    </font>
    <font>
      <i val="true"/>
      <sz val="9"/>
      <name val="Arial"/>
      <family val="0"/>
      <charset val="1"/>
    </font>
    <font>
      <i val="true"/>
      <sz val="8"/>
      <color rgb="FFC00000"/>
      <name val="Arial"/>
      <family val="0"/>
      <charset val="1"/>
    </font>
    <font>
      <i val="true"/>
      <sz val="8"/>
      <name val="Arial"/>
      <family val="0"/>
      <charset val="1"/>
    </font>
    <font>
      <b val="true"/>
      <sz val="9"/>
      <color rgb="FFC00000"/>
      <name val="Arial"/>
      <family val="0"/>
      <charset val="1"/>
    </font>
    <font>
      <sz val="10"/>
      <color rgb="FF000000"/>
      <name val="Arial"/>
      <family val="0"/>
      <charset val="1"/>
    </font>
    <font>
      <sz val="10"/>
      <color rgb="FF0000FF"/>
      <name val="Arial"/>
      <family val="0"/>
      <charset val="1"/>
    </font>
    <font>
      <b val="true"/>
      <sz val="10"/>
      <color rgb="FF1F3864"/>
      <name val="Cambria"/>
      <family val="0"/>
      <charset val="1"/>
    </font>
    <font>
      <sz val="10"/>
      <color rgb="FF000000"/>
      <name val="Cambria"/>
      <family val="0"/>
      <charset val="1"/>
    </font>
    <font>
      <b val="true"/>
      <sz val="9"/>
      <color rgb="FF1F3864"/>
      <name val="Cambria"/>
      <family val="0"/>
      <charset val="1"/>
    </font>
    <font>
      <i val="true"/>
      <sz val="9"/>
      <color rgb="FFC00000"/>
      <name val="Cambria"/>
      <family val="0"/>
      <charset val="1"/>
    </font>
    <font>
      <i val="true"/>
      <sz val="9"/>
      <color rgb="FF555555"/>
      <name val="Cambria"/>
      <family val="0"/>
      <charset val="1"/>
    </font>
    <font>
      <i val="true"/>
      <sz val="11"/>
      <color rgb="FF595959"/>
      <name val="Calibri"/>
      <family val="0"/>
      <charset val="1"/>
    </font>
    <font>
      <i val="true"/>
      <sz val="9"/>
      <color rgb="FF555555"/>
      <name val="Calibri"/>
      <family val="0"/>
      <charset val="1"/>
    </font>
    <font>
      <sz val="10"/>
      <color rgb="FF008000"/>
      <name val="Arial"/>
      <family val="0"/>
      <charset val="1"/>
    </font>
    <font>
      <b val="true"/>
      <sz val="12"/>
      <name val="Arial"/>
      <family val="0"/>
      <charset val="1"/>
    </font>
    <font>
      <i val="true"/>
      <sz val="9"/>
      <color rgb="FFC00000"/>
      <name val="Arial"/>
      <family val="0"/>
      <charset val="1"/>
    </font>
    <font>
      <b val="true"/>
      <sz val="13"/>
      <color rgb="FF1F3864"/>
      <name val="Calibri"/>
      <family val="0"/>
      <charset val="1"/>
    </font>
    <font>
      <b val="true"/>
      <sz val="11"/>
      <name val="Cambria"/>
      <family val="0"/>
      <charset val="1"/>
    </font>
    <font>
      <b val="true"/>
      <sz val="13"/>
      <color rgb="FF1F3864"/>
      <name val="Cambria"/>
      <family val="0"/>
      <charset val="1"/>
    </font>
    <font>
      <i val="true"/>
      <sz val="10"/>
      <color rgb="FF555555"/>
      <name val="Cambria"/>
      <family val="0"/>
      <charset val="1"/>
    </font>
  </fonts>
  <fills count="7">
    <fill>
      <patternFill patternType="none"/>
    </fill>
    <fill>
      <patternFill patternType="gray125"/>
    </fill>
    <fill>
      <patternFill patternType="solid">
        <fgColor rgb="FF1F3864"/>
        <bgColor rgb="FF1F4E78"/>
      </patternFill>
    </fill>
    <fill>
      <patternFill patternType="solid">
        <fgColor rgb="FFD9E1F2"/>
        <bgColor rgb="FFC6E0B4"/>
      </patternFill>
    </fill>
    <fill>
      <patternFill patternType="solid">
        <fgColor rgb="FF1F4E78"/>
        <bgColor rgb="FF1F3864"/>
      </patternFill>
    </fill>
    <fill>
      <patternFill patternType="solid">
        <fgColor rgb="FFC6E0B4"/>
        <bgColor rgb="FFD9E1F2"/>
      </patternFill>
    </fill>
    <fill>
      <patternFill patternType="solid">
        <fgColor rgb="FFFFF2CC"/>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4" fontId="13" fillId="2" borderId="0" xfId="0" applyFont="true" applyBorder="fals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14" fillId="0" borderId="0" xfId="0" applyFont="true" applyBorder="false" applyAlignment="true" applyProtection="false">
      <alignment horizontal="general" vertical="top" textRotation="0" wrapText="true" indent="0" shrinkToFit="false"/>
      <protection locked="true" hidden="false"/>
    </xf>
    <xf numFmtId="164" fontId="15"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6" fillId="3" borderId="0" xfId="0" applyFont="true" applyBorder="false" applyAlignment="true" applyProtection="false">
      <alignment horizontal="general" vertical="bottom" textRotation="0" wrapText="false" indent="0" shrinkToFit="false"/>
      <protection locked="true" hidden="false"/>
    </xf>
    <xf numFmtId="164" fontId="0" fillId="3" borderId="0" xfId="0" applyFont="fals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top" textRotation="0" wrapText="true" indent="0" shrinkToFit="false"/>
      <protection locked="true" hidden="false"/>
    </xf>
    <xf numFmtId="164" fontId="18" fillId="0" borderId="0" xfId="0" applyFont="true" applyBorder="false" applyAlignment="true" applyProtection="false">
      <alignment horizontal="general" vertical="top" textRotation="0" wrapText="true" indent="0" shrinkToFit="false"/>
      <protection locked="true" hidden="false"/>
    </xf>
    <xf numFmtId="164" fontId="19" fillId="0" borderId="0" xfId="0" applyFont="true" applyBorder="false" applyAlignment="true" applyProtection="false">
      <alignment horizontal="general" vertical="top" textRotation="0" wrapText="true" indent="0" shrinkToFit="false"/>
      <protection locked="true" hidden="false"/>
    </xf>
    <xf numFmtId="164" fontId="20" fillId="0" borderId="0" xfId="0" applyFont="true" applyBorder="false" applyAlignment="true" applyProtection="false">
      <alignment horizontal="general" vertical="top" textRotation="0" wrapText="true" indent="0" shrinkToFit="false"/>
      <protection locked="true" hidden="false"/>
    </xf>
    <xf numFmtId="164" fontId="21" fillId="0" borderId="0" xfId="0" applyFont="true" applyBorder="false" applyAlignment="true" applyProtection="false">
      <alignment horizontal="general" vertical="top" textRotation="0" wrapText="true" indent="0" shrinkToFit="false"/>
      <protection locked="true" hidden="false"/>
    </xf>
    <xf numFmtId="164" fontId="22" fillId="4" borderId="0" xfId="0" applyFont="true" applyBorder="false" applyAlignment="true" applyProtection="false">
      <alignment horizontal="general" vertical="bottom" textRotation="0" wrapText="false" indent="0" shrinkToFit="false"/>
      <protection locked="true" hidden="false"/>
    </xf>
    <xf numFmtId="165" fontId="6" fillId="0" borderId="0" xfId="0" applyFont="true" applyBorder="false" applyAlignment="true" applyProtection="false">
      <alignment horizontal="general" vertical="top" textRotation="0" wrapText="true" indent="0" shrinkToFit="false"/>
      <protection locked="true" hidden="false"/>
    </xf>
    <xf numFmtId="164" fontId="23" fillId="0" borderId="0" xfId="0" applyFont="true" applyBorder="false" applyAlignment="true" applyProtection="false">
      <alignment horizontal="general" vertical="top" textRotation="0" wrapText="true" indent="0" shrinkToFit="false"/>
      <protection locked="true" hidden="false"/>
    </xf>
    <xf numFmtId="166" fontId="0" fillId="0" borderId="0" xfId="0" applyFont="false" applyBorder="false" applyAlignment="true" applyProtection="false">
      <alignment horizontal="general" vertical="top" textRotation="0" wrapText="tru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68" fontId="0" fillId="0" borderId="0" xfId="0" applyFont="false" applyBorder="false" applyAlignment="true" applyProtection="false">
      <alignment horizontal="general" vertical="bottom" textRotation="0" wrapText="false" indent="0" shrinkToFit="false"/>
      <protection locked="true" hidden="false"/>
    </xf>
    <xf numFmtId="164" fontId="25" fillId="0" borderId="0" xfId="0" applyFont="true" applyBorder="false" applyAlignment="true" applyProtection="false">
      <alignment horizontal="general" vertical="bottom" textRotation="0" wrapText="false" indent="0" shrinkToFit="false"/>
      <protection locked="true" hidden="false"/>
    </xf>
    <xf numFmtId="169" fontId="0" fillId="0" borderId="0" xfId="0" applyFont="false" applyBorder="false" applyAlignment="true" applyProtection="false">
      <alignment horizontal="general" vertical="bottom" textRotation="0" wrapText="false" indent="0" shrinkToFit="false"/>
      <protection locked="true" hidden="false"/>
    </xf>
    <xf numFmtId="164" fontId="26" fillId="0" borderId="0" xfId="0" applyFont="true" applyBorder="false" applyAlignment="true" applyProtection="false">
      <alignment horizontal="general" vertical="bottom" textRotation="0" wrapText="false" indent="0" shrinkToFit="false"/>
      <protection locked="true" hidden="false"/>
    </xf>
    <xf numFmtId="170" fontId="0" fillId="0" borderId="0" xfId="0" applyFont="false" applyBorder="false" applyAlignment="true" applyProtection="false">
      <alignment horizontal="general" vertical="bottom" textRotation="0" wrapText="false" indent="0" shrinkToFit="false"/>
      <protection locked="true" hidden="false"/>
    </xf>
    <xf numFmtId="171" fontId="22" fillId="4" borderId="0" xfId="0" applyFont="true" applyBorder="false" applyAlignment="true" applyProtection="false">
      <alignment horizontal="center" vertical="bottom" textRotation="0" wrapText="false" indent="0" shrinkToFit="false"/>
      <protection locked="true" hidden="false"/>
    </xf>
    <xf numFmtId="164" fontId="27" fillId="0" borderId="0" xfId="0" applyFont="true" applyBorder="false" applyAlignment="true" applyProtection="false">
      <alignment horizontal="general" vertical="bottom" textRotation="0" wrapText="false" indent="0" shrinkToFit="false"/>
      <protection locked="true" hidden="false"/>
    </xf>
    <xf numFmtId="172" fontId="28" fillId="0" borderId="0" xfId="0" applyFont="true" applyBorder="false" applyAlignment="true" applyProtection="false">
      <alignment horizontal="general" vertical="bottom" textRotation="0" wrapText="false" indent="0" shrinkToFit="false"/>
      <protection locked="true" hidden="false"/>
    </xf>
    <xf numFmtId="173" fontId="28" fillId="0" borderId="0" xfId="0" applyFont="true" applyBorder="false" applyAlignment="true" applyProtection="false">
      <alignment horizontal="general" vertical="bottom" textRotation="0" wrapText="false" indent="0" shrinkToFit="false"/>
      <protection locked="true" hidden="false"/>
    </xf>
    <xf numFmtId="172" fontId="27" fillId="0" borderId="0" xfId="0" applyFont="true" applyBorder="false" applyAlignment="true" applyProtection="false">
      <alignment horizontal="general" vertical="bottom" textRotation="0" wrapText="false" indent="0" shrinkToFit="false"/>
      <protection locked="true" hidden="false"/>
    </xf>
    <xf numFmtId="173" fontId="27" fillId="0" borderId="0" xfId="0" applyFont="true" applyBorder="false" applyAlignment="true" applyProtection="false">
      <alignment horizontal="general" vertical="bottom" textRotation="0" wrapText="false" indent="0" shrinkToFit="false"/>
      <protection locked="true" hidden="false"/>
    </xf>
    <xf numFmtId="172" fontId="6" fillId="5" borderId="0" xfId="0" applyFont="true" applyBorder="false" applyAlignment="true" applyProtection="false">
      <alignment horizontal="general" vertical="bottom" textRotation="0" wrapText="false" indent="0" shrinkToFit="false"/>
      <protection locked="true" hidden="false"/>
    </xf>
    <xf numFmtId="174" fontId="28" fillId="0" borderId="0" xfId="0" applyFont="true" applyBorder="false" applyAlignment="true" applyProtection="false">
      <alignment horizontal="general" vertical="bottom" textRotation="0" wrapText="false" indent="0" shrinkToFit="false"/>
      <protection locked="true" hidden="false"/>
    </xf>
    <xf numFmtId="164" fontId="28" fillId="0" borderId="0" xfId="0" applyFont="true" applyBorder="false" applyAlignment="true" applyProtection="false">
      <alignment horizontal="general" vertical="bottom" textRotation="0" wrapText="false" indent="0" shrinkToFit="false"/>
      <protection locked="true" hidden="false"/>
    </xf>
    <xf numFmtId="175" fontId="28" fillId="0" borderId="0" xfId="0" applyFont="true" applyBorder="false" applyAlignment="tru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76" fontId="0" fillId="0" borderId="0" xfId="0" applyFont="false" applyBorder="false" applyAlignment="true" applyProtection="false">
      <alignment horizontal="general" vertical="bottom" textRotation="0" wrapText="false" indent="0" shrinkToFit="false"/>
      <protection locked="true" hidden="false"/>
    </xf>
    <xf numFmtId="177" fontId="0" fillId="0" borderId="0" xfId="0" applyFont="false" applyBorder="false" applyAlignment="true" applyProtection="false">
      <alignment horizontal="general" vertical="bottom" textRotation="0" wrapText="false" indent="0" shrinkToFit="false"/>
      <protection locked="true" hidden="false"/>
    </xf>
    <xf numFmtId="165" fontId="0" fillId="5" borderId="0" xfId="0" applyFont="false" applyBorder="false" applyAlignment="true" applyProtection="false">
      <alignment horizontal="general" vertical="bottom" textRotation="0" wrapText="false" indent="0" shrinkToFit="false"/>
      <protection locked="true" hidden="false"/>
    </xf>
    <xf numFmtId="164" fontId="29" fillId="3" borderId="0" xfId="0" applyFont="true" applyBorder="false" applyAlignment="true" applyProtection="false">
      <alignment horizontal="general" vertical="bottom" textRotation="0" wrapText="false" indent="0" shrinkToFit="false"/>
      <protection locked="true" hidden="false"/>
    </xf>
    <xf numFmtId="164" fontId="30" fillId="0" borderId="0" xfId="0" applyFont="true" applyBorder="false" applyAlignment="true" applyProtection="false">
      <alignment horizontal="general" vertical="bottom" textRotation="0" wrapText="false" indent="0" shrinkToFit="false"/>
      <protection locked="true" hidden="false"/>
    </xf>
    <xf numFmtId="178" fontId="0" fillId="5" borderId="0" xfId="0" applyFont="false" applyBorder="false" applyAlignment="tru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general" vertical="bottom" textRotation="0" wrapText="false" indent="0" shrinkToFit="false"/>
      <protection locked="true" hidden="false"/>
    </xf>
    <xf numFmtId="164" fontId="32" fillId="0" borderId="0" xfId="0" applyFont="true" applyBorder="false" applyAlignment="true" applyProtection="false">
      <alignment horizontal="general" vertical="bottom" textRotation="0" wrapText="false" indent="0" shrinkToFit="false"/>
      <protection locked="true" hidden="false"/>
    </xf>
    <xf numFmtId="164" fontId="33" fillId="0" borderId="0" xfId="0" applyFont="true" applyBorder="false" applyAlignment="true" applyProtection="false">
      <alignment horizontal="general" vertical="bottom" textRotation="0" wrapText="false" indent="0" shrinkToFit="false"/>
      <protection locked="true" hidden="false"/>
    </xf>
    <xf numFmtId="164" fontId="32"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34" fillId="0" borderId="0" xfId="0" applyFont="true" applyBorder="false" applyAlignment="true" applyProtection="false">
      <alignment horizontal="general" vertical="bottom" textRotation="0" wrapText="false" indent="0" shrinkToFit="false"/>
      <protection locked="true" hidden="false"/>
    </xf>
    <xf numFmtId="164" fontId="35" fillId="0" borderId="0" xfId="0" applyFont="true" applyBorder="false" applyAlignment="true" applyProtection="false">
      <alignment horizontal="general" vertical="bottom" textRotation="0" wrapText="false" indent="0" shrinkToFit="false"/>
      <protection locked="true" hidden="false"/>
    </xf>
    <xf numFmtId="179" fontId="28" fillId="0" borderId="0" xfId="0" applyFont="true" applyBorder="false" applyAlignment="true" applyProtection="false">
      <alignment horizontal="general" vertical="bottom" textRotation="0" wrapText="false" indent="0" shrinkToFit="false"/>
      <protection locked="true" hidden="false"/>
    </xf>
    <xf numFmtId="173" fontId="36" fillId="0" borderId="0" xfId="0" applyFont="true" applyBorder="false" applyAlignment="true" applyProtection="false">
      <alignment horizontal="general" vertical="bottom" textRotation="0" wrapText="false" indent="0" shrinkToFit="false"/>
      <protection locked="true" hidden="false"/>
    </xf>
    <xf numFmtId="174" fontId="27" fillId="0" borderId="0" xfId="0" applyFont="true" applyBorder="false" applyAlignment="true" applyProtection="false">
      <alignment horizontal="general" vertical="bottom" textRotation="0" wrapText="false" indent="0" shrinkToFit="false"/>
      <protection locked="true" hidden="false"/>
    </xf>
    <xf numFmtId="179" fontId="36" fillId="0" borderId="0" xfId="0" applyFont="true" applyBorder="false" applyAlignment="true" applyProtection="false">
      <alignment horizontal="general" vertical="bottom" textRotation="0" wrapText="false" indent="0" shrinkToFit="false"/>
      <protection locked="true" hidden="false"/>
    </xf>
    <xf numFmtId="179" fontId="27" fillId="0" borderId="0" xfId="0" applyFont="true" applyBorder="false" applyAlignment="true" applyProtection="false">
      <alignment horizontal="general" vertical="bottom" textRotation="0" wrapText="false" indent="0" shrinkToFit="false"/>
      <protection locked="true" hidden="false"/>
    </xf>
    <xf numFmtId="164" fontId="37" fillId="5" borderId="0" xfId="0" applyFont="true" applyBorder="false" applyAlignment="true" applyProtection="false">
      <alignment horizontal="general" vertical="bottom" textRotation="0" wrapText="false" indent="0" shrinkToFit="false"/>
      <protection locked="true" hidden="false"/>
    </xf>
    <xf numFmtId="168" fontId="37" fillId="5" borderId="0" xfId="0" applyFont="true" applyBorder="false" applyAlignment="true" applyProtection="false">
      <alignment horizontal="general" vertical="bottom" textRotation="0" wrapText="false" indent="0" shrinkToFit="false"/>
      <protection locked="true" hidden="false"/>
    </xf>
    <xf numFmtId="179" fontId="19" fillId="0" borderId="0" xfId="0" applyFont="true" applyBorder="false" applyAlignment="true" applyProtection="false">
      <alignment horizontal="general" vertical="bottom" textRotation="0" wrapText="false" indent="0" shrinkToFit="false"/>
      <protection locked="true" hidden="false"/>
    </xf>
    <xf numFmtId="164" fontId="38" fillId="0" borderId="0" xfId="0" applyFont="true" applyBorder="false" applyAlignment="true" applyProtection="false">
      <alignment horizontal="general" vertical="bottom" textRotation="0" wrapText="false" indent="0" shrinkToFit="false"/>
      <protection locked="true" hidden="false"/>
    </xf>
    <xf numFmtId="164" fontId="27" fillId="3" borderId="0" xfId="0" applyFont="true" applyBorder="false" applyAlignment="true" applyProtection="false">
      <alignment horizontal="general" vertical="bottom" textRotation="0" wrapText="false" indent="0" shrinkToFit="false"/>
      <protection locked="true" hidden="false"/>
    </xf>
    <xf numFmtId="179" fontId="27" fillId="3" borderId="0" xfId="0" applyFont="true" applyBorder="false" applyAlignment="true" applyProtection="false">
      <alignment horizontal="general" vertical="bottom" textRotation="0" wrapText="false" indent="0" shrinkToFit="false"/>
      <protection locked="true" hidden="false"/>
    </xf>
    <xf numFmtId="164" fontId="27" fillId="5" borderId="0" xfId="0" applyFont="true" applyBorder="false" applyAlignment="true" applyProtection="false">
      <alignment horizontal="general" vertical="bottom" textRotation="0" wrapText="false" indent="0" shrinkToFit="false"/>
      <protection locked="true" hidden="false"/>
    </xf>
    <xf numFmtId="179" fontId="27" fillId="5" borderId="0" xfId="0" applyFont="true" applyBorder="false" applyAlignment="true" applyProtection="false">
      <alignment horizontal="general" vertical="bottom" textRotation="0" wrapText="false" indent="0" shrinkToFit="false"/>
      <protection locked="true" hidden="false"/>
    </xf>
    <xf numFmtId="168" fontId="0" fillId="3" borderId="0" xfId="0" applyFont="false" applyBorder="false" applyAlignment="true" applyProtection="false">
      <alignment horizontal="general" vertical="bottom" textRotation="0" wrapText="false" indent="0" shrinkToFit="false"/>
      <protection locked="true" hidden="false"/>
    </xf>
    <xf numFmtId="164" fontId="23" fillId="3" borderId="0" xfId="0" applyFont="true" applyBorder="false" applyAlignment="true" applyProtection="false">
      <alignment horizontal="general" vertical="bottom" textRotation="0" wrapText="false" indent="0" shrinkToFit="false"/>
      <protection locked="true" hidden="false"/>
    </xf>
    <xf numFmtId="164" fontId="24" fillId="5" borderId="0" xfId="0" applyFont="true" applyBorder="false" applyAlignment="true" applyProtection="false">
      <alignment horizontal="general" vertical="bottom" textRotation="0" wrapText="false" indent="0" shrinkToFit="false"/>
      <protection locked="true" hidden="false"/>
    </xf>
    <xf numFmtId="168" fontId="37" fillId="3" borderId="0" xfId="0" applyFont="true" applyBorder="false" applyAlignment="true" applyProtection="false">
      <alignment horizontal="general" vertical="bottom" textRotation="0" wrapText="false" indent="0" shrinkToFit="false"/>
      <protection locked="true" hidden="false"/>
    </xf>
    <xf numFmtId="164" fontId="39" fillId="0" borderId="0" xfId="0" applyFont="true" applyBorder="false" applyAlignment="true" applyProtection="false">
      <alignment horizontal="general" vertical="bottom" textRotation="0" wrapText="false" indent="0" shrinkToFit="false"/>
      <protection locked="true" hidden="false"/>
    </xf>
    <xf numFmtId="164" fontId="40" fillId="0" borderId="0" xfId="0" applyFont="true" applyBorder="false" applyAlignment="true" applyProtection="false">
      <alignment horizontal="general" vertical="bottom" textRotation="0" wrapText="false" indent="0" shrinkToFit="false"/>
      <protection locked="true" hidden="false"/>
    </xf>
    <xf numFmtId="168" fontId="0" fillId="6" borderId="0" xfId="0" applyFont="false" applyBorder="false" applyAlignment="true" applyProtection="false">
      <alignment horizontal="general" vertical="bottom" textRotation="0" wrapText="false" indent="0" shrinkToFit="false"/>
      <protection locked="true" hidden="false"/>
    </xf>
    <xf numFmtId="164" fontId="41" fillId="0" borderId="0" xfId="0" applyFont="true" applyBorder="false" applyAlignment="true" applyProtection="false">
      <alignment horizontal="general" vertical="bottom" textRotation="0" wrapText="false" indent="0" shrinkToFit="false"/>
      <protection locked="true" hidden="false"/>
    </xf>
    <xf numFmtId="164" fontId="42"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6E0B4"/>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1F4E78"/>
      <rgbColor rgb="FF5555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3.vml"/>
</Relationships>
</file>

<file path=xl/worksheets/_rels/sheet14.xml.rels><?xml version="1.0" encoding="UTF-8"?>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4.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4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10"/>
  </cols>
  <sheetData>
    <row r="1" customFormat="false" ht="19.5" hidden="false" customHeight="true" outlineLevel="0" collapsed="false">
      <c r="A1" s="2" t="s">
        <v>0</v>
      </c>
    </row>
    <row r="2" customFormat="false" ht="15" hidden="false" customHeight="true" outlineLevel="0" collapsed="false">
      <c r="A2" s="3" t="s">
        <v>1</v>
      </c>
    </row>
    <row r="4" customFormat="false" ht="15" hidden="false" customHeight="true" outlineLevel="0" collapsed="false">
      <c r="A4" s="4" t="s">
        <v>2</v>
      </c>
    </row>
    <row r="6" customFormat="false" ht="15" hidden="false" customHeight="true" outlineLevel="0" collapsed="false">
      <c r="A6" s="5" t="s">
        <v>3</v>
      </c>
    </row>
    <row r="7" customFormat="false" ht="15" hidden="false" customHeight="true" outlineLevel="0" collapsed="false">
      <c r="A7" s="5" t="s">
        <v>4</v>
      </c>
    </row>
    <row r="8" customFormat="false" ht="15" hidden="false" customHeight="true" outlineLevel="0" collapsed="false">
      <c r="A8" s="5" t="s">
        <v>5</v>
      </c>
    </row>
    <row r="9" customFormat="false" ht="15" hidden="false" customHeight="true" outlineLevel="0" collapsed="false">
      <c r="A9" s="5"/>
    </row>
    <row r="10" customFormat="false" ht="15" hidden="false" customHeight="true" outlineLevel="0" collapsed="false">
      <c r="A10" s="4" t="s">
        <v>6</v>
      </c>
    </row>
    <row r="12" customFormat="false" ht="15" hidden="false" customHeight="true" outlineLevel="0" collapsed="false">
      <c r="A12" s="5" t="s">
        <v>7</v>
      </c>
    </row>
    <row r="13" customFormat="false" ht="15" hidden="false" customHeight="true" outlineLevel="0" collapsed="false">
      <c r="A13" s="5" t="s">
        <v>8</v>
      </c>
    </row>
    <row r="14" customFormat="false" ht="15" hidden="false" customHeight="true" outlineLevel="0" collapsed="false">
      <c r="A14" s="5" t="s">
        <v>9</v>
      </c>
    </row>
    <row r="15" customFormat="false" ht="15" hidden="false" customHeight="true" outlineLevel="0" collapsed="false">
      <c r="A15" s="5" t="s">
        <v>10</v>
      </c>
    </row>
    <row r="16" customFormat="false" ht="15" hidden="false" customHeight="true" outlineLevel="0" collapsed="false">
      <c r="A16" s="5" t="s">
        <v>11</v>
      </c>
    </row>
    <row r="17" customFormat="false" ht="15" hidden="false" customHeight="true" outlineLevel="0" collapsed="false">
      <c r="A17" s="5" t="s">
        <v>12</v>
      </c>
    </row>
    <row r="18" customFormat="false" ht="15" hidden="false" customHeight="true" outlineLevel="0" collapsed="false">
      <c r="A18" s="5" t="s">
        <v>13</v>
      </c>
    </row>
    <row r="19" customFormat="false" ht="15" hidden="false" customHeight="true" outlineLevel="0" collapsed="false">
      <c r="A19" s="5" t="s">
        <v>14</v>
      </c>
    </row>
    <row r="20" customFormat="false" ht="15" hidden="false" customHeight="true" outlineLevel="0" collapsed="false">
      <c r="A20" s="5" t="s">
        <v>15</v>
      </c>
    </row>
    <row r="21" customFormat="false" ht="15" hidden="false" customHeight="true" outlineLevel="0" collapsed="false">
      <c r="A21" s="5" t="s">
        <v>16</v>
      </c>
    </row>
    <row r="22" customFormat="false" ht="15" hidden="false" customHeight="true" outlineLevel="0" collapsed="false">
      <c r="A22" s="5" t="s">
        <v>17</v>
      </c>
    </row>
    <row r="23" customFormat="false" ht="15" hidden="false" customHeight="true" outlineLevel="0" collapsed="false">
      <c r="A23" s="5" t="s">
        <v>18</v>
      </c>
    </row>
    <row r="24" customFormat="false" ht="15" hidden="false" customHeight="true" outlineLevel="0" collapsed="false">
      <c r="A24" s="5" t="s">
        <v>19</v>
      </c>
    </row>
    <row r="25" customFormat="false" ht="15" hidden="false" customHeight="true" outlineLevel="0" collapsed="false">
      <c r="A25" s="5" t="s">
        <v>20</v>
      </c>
    </row>
    <row r="26" customFormat="false" ht="15" hidden="false" customHeight="true" outlineLevel="0" collapsed="false">
      <c r="A26" s="5" t="s">
        <v>21</v>
      </c>
    </row>
    <row r="27" customFormat="false" ht="15" hidden="false" customHeight="true" outlineLevel="0" collapsed="false">
      <c r="A27" s="5" t="s">
        <v>22</v>
      </c>
    </row>
    <row r="28" customFormat="false" ht="15" hidden="false" customHeight="true" outlineLevel="0" collapsed="false">
      <c r="A28" s="5" t="s">
        <v>23</v>
      </c>
    </row>
    <row r="29" customFormat="false" ht="15" hidden="false" customHeight="true" outlineLevel="0" collapsed="false">
      <c r="A29" s="5" t="s">
        <v>24</v>
      </c>
    </row>
    <row r="30" customFormat="false" ht="15" hidden="false" customHeight="true" outlineLevel="0" collapsed="false">
      <c r="A30" s="5"/>
    </row>
    <row r="31" customFormat="false" ht="15" hidden="false" customHeight="true" outlineLevel="0" collapsed="false">
      <c r="A31" s="4" t="s">
        <v>25</v>
      </c>
    </row>
    <row r="33" customFormat="false" ht="15" hidden="false" customHeight="true" outlineLevel="0" collapsed="false">
      <c r="A33" s="5" t="s">
        <v>26</v>
      </c>
    </row>
    <row r="34" customFormat="false" ht="15" hidden="false" customHeight="true" outlineLevel="0" collapsed="false">
      <c r="A34" s="5" t="s">
        <v>27</v>
      </c>
    </row>
    <row r="35" customFormat="false" ht="15" hidden="false" customHeight="true" outlineLevel="0" collapsed="false">
      <c r="A35" s="5" t="s">
        <v>28</v>
      </c>
    </row>
    <row r="36" customFormat="false" ht="15" hidden="false" customHeight="true" outlineLevel="0" collapsed="false">
      <c r="A36" s="5"/>
    </row>
    <row r="37" customFormat="false" ht="15" hidden="false" customHeight="true" outlineLevel="0" collapsed="false">
      <c r="A37" s="4" t="s">
        <v>29</v>
      </c>
    </row>
    <row r="39" customFormat="false" ht="15" hidden="false" customHeight="true" outlineLevel="0" collapsed="false">
      <c r="A39" s="5" t="s">
        <v>30</v>
      </c>
    </row>
    <row r="40" customFormat="false" ht="15" hidden="false" customHeight="true" outlineLevel="0" collapsed="false">
      <c r="A40" s="5" t="s">
        <v>31</v>
      </c>
    </row>
    <row r="41" customFormat="false" ht="15" hidden="false" customHeight="true" outlineLevel="0" collapsed="false">
      <c r="A41" s="5" t="s">
        <v>32</v>
      </c>
    </row>
    <row r="42" customFormat="false" ht="15" hidden="false" customHeight="true" outlineLevel="0" collapsed="false">
      <c r="A42" s="5" t="s">
        <v>33</v>
      </c>
    </row>
    <row r="43" customFormat="false" ht="15" hidden="false" customHeight="true" outlineLevel="0" collapsed="false">
      <c r="A43" s="5" t="s">
        <v>34</v>
      </c>
    </row>
    <row r="44" customFormat="false" ht="15" hidden="false" customHeight="true" outlineLevel="0" collapsed="false">
      <c r="A44" s="5" t="s">
        <v>35</v>
      </c>
    </row>
    <row r="45" customFormat="false" ht="15" hidden="false" customHeight="true" outlineLevel="0" collapsed="false">
      <c r="A45" s="5"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2" min="2" style="1" width="40"/>
    <col collapsed="false" customWidth="true" hidden="false" outlineLevel="0" max="3" min="3" style="1" width="30"/>
    <col collapsed="false" customWidth="true" hidden="false" outlineLevel="0" max="4" min="4" style="1" width="70"/>
    <col collapsed="false" customWidth="true" hidden="false" outlineLevel="0" max="5" min="5" style="1" width="55"/>
  </cols>
  <sheetData>
    <row r="1" customFormat="false" ht="19.5" hidden="false" customHeight="true" outlineLevel="0" collapsed="false">
      <c r="A1" s="6" t="s">
        <v>37</v>
      </c>
      <c r="B1" s="7"/>
      <c r="C1" s="7"/>
      <c r="D1" s="7"/>
      <c r="E1" s="7"/>
    </row>
    <row r="2" customFormat="false" ht="15" hidden="false" customHeight="true" outlineLevel="0" collapsed="false">
      <c r="A2" s="8"/>
      <c r="B2" s="7"/>
      <c r="C2" s="8"/>
      <c r="D2" s="9"/>
      <c r="E2" s="10"/>
    </row>
    <row r="3" customFormat="false" ht="15" hidden="false" customHeight="true" outlineLevel="0" collapsed="false">
      <c r="A3" s="11" t="s">
        <v>38</v>
      </c>
      <c r="B3" s="11" t="s">
        <v>39</v>
      </c>
      <c r="C3" s="11" t="s">
        <v>40</v>
      </c>
      <c r="D3" s="11" t="s">
        <v>41</v>
      </c>
      <c r="E3" s="11" t="s">
        <v>42</v>
      </c>
    </row>
    <row r="4" customFormat="false" ht="30" hidden="false" customHeight="true" outlineLevel="0" collapsed="false">
      <c r="A4" s="12" t="s">
        <v>43</v>
      </c>
      <c r="B4" s="13" t="s">
        <v>44</v>
      </c>
      <c r="C4" s="12" t="s">
        <v>45</v>
      </c>
      <c r="D4" s="14" t="s">
        <v>46</v>
      </c>
      <c r="E4" s="15" t="s">
        <v>47</v>
      </c>
    </row>
    <row r="5" customFormat="false" ht="30" hidden="false" customHeight="true" outlineLevel="0" collapsed="false">
      <c r="A5" s="12" t="s">
        <v>43</v>
      </c>
      <c r="B5" s="13" t="s">
        <v>48</v>
      </c>
      <c r="C5" s="12" t="s">
        <v>49</v>
      </c>
      <c r="D5" s="14" t="s">
        <v>50</v>
      </c>
      <c r="E5" s="15" t="s">
        <v>51</v>
      </c>
    </row>
    <row r="6" customFormat="false" ht="30" hidden="false" customHeight="true" outlineLevel="0" collapsed="false">
      <c r="A6" s="12" t="s">
        <v>43</v>
      </c>
      <c r="B6" s="13" t="s">
        <v>52</v>
      </c>
      <c r="C6" s="12" t="s">
        <v>53</v>
      </c>
      <c r="D6" s="14" t="s">
        <v>54</v>
      </c>
      <c r="E6" s="15" t="s">
        <v>55</v>
      </c>
    </row>
    <row r="7" customFormat="false" ht="30" hidden="false" customHeight="true" outlineLevel="0" collapsed="false">
      <c r="A7" s="12" t="s">
        <v>43</v>
      </c>
      <c r="B7" s="13" t="s">
        <v>56</v>
      </c>
      <c r="C7" s="12" t="s">
        <v>57</v>
      </c>
      <c r="D7" s="14" t="s">
        <v>58</v>
      </c>
      <c r="E7" s="15" t="s">
        <v>59</v>
      </c>
    </row>
    <row r="8" customFormat="false" ht="30" hidden="false" customHeight="true" outlineLevel="0" collapsed="false">
      <c r="A8" s="12" t="s">
        <v>43</v>
      </c>
      <c r="B8" s="13" t="s">
        <v>60</v>
      </c>
      <c r="C8" s="12" t="s">
        <v>61</v>
      </c>
      <c r="D8" s="14" t="s">
        <v>62</v>
      </c>
      <c r="E8" s="15" t="s">
        <v>63</v>
      </c>
    </row>
    <row r="9" customFormat="false" ht="30" hidden="false" customHeight="true" outlineLevel="0" collapsed="false">
      <c r="A9" s="12" t="s">
        <v>43</v>
      </c>
      <c r="B9" s="13" t="s">
        <v>64</v>
      </c>
      <c r="C9" s="12" t="s">
        <v>65</v>
      </c>
      <c r="D9" s="14" t="s">
        <v>66</v>
      </c>
      <c r="E9" s="15" t="s">
        <v>67</v>
      </c>
    </row>
    <row r="10" customFormat="false" ht="30" hidden="false" customHeight="true" outlineLevel="0" collapsed="false">
      <c r="A10" s="12" t="s">
        <v>43</v>
      </c>
      <c r="B10" s="13" t="s">
        <v>68</v>
      </c>
      <c r="C10" s="12" t="s">
        <v>69</v>
      </c>
      <c r="D10" s="14" t="s">
        <v>70</v>
      </c>
      <c r="E10" s="15" t="s">
        <v>71</v>
      </c>
    </row>
    <row r="11" customFormat="false" ht="30" hidden="false" customHeight="true" outlineLevel="0" collapsed="false">
      <c r="A11" s="12" t="s">
        <v>72</v>
      </c>
      <c r="B11" s="13" t="s">
        <v>73</v>
      </c>
      <c r="C11" s="12" t="s">
        <v>74</v>
      </c>
      <c r="D11" s="14" t="s">
        <v>75</v>
      </c>
      <c r="E11" s="15" t="s">
        <v>76</v>
      </c>
    </row>
    <row r="12" customFormat="false" ht="30" hidden="false" customHeight="true" outlineLevel="0" collapsed="false">
      <c r="A12" s="12" t="s">
        <v>72</v>
      </c>
      <c r="B12" s="13" t="s">
        <v>77</v>
      </c>
      <c r="C12" s="12" t="s">
        <v>78</v>
      </c>
      <c r="D12" s="14" t="s">
        <v>79</v>
      </c>
      <c r="E12" s="15" t="s">
        <v>80</v>
      </c>
    </row>
    <row r="13" customFormat="false" ht="30" hidden="false" customHeight="true" outlineLevel="0" collapsed="false">
      <c r="A13" s="12" t="s">
        <v>72</v>
      </c>
      <c r="B13" s="13" t="s">
        <v>81</v>
      </c>
      <c r="C13" s="12" t="s">
        <v>82</v>
      </c>
      <c r="D13" s="14" t="s">
        <v>83</v>
      </c>
      <c r="E13" s="15" t="s">
        <v>84</v>
      </c>
    </row>
    <row r="14" customFormat="false" ht="30" hidden="false" customHeight="true" outlineLevel="0" collapsed="false">
      <c r="A14" s="12" t="s">
        <v>85</v>
      </c>
      <c r="B14" s="13" t="s">
        <v>86</v>
      </c>
      <c r="C14" s="12" t="s">
        <v>87</v>
      </c>
      <c r="D14" s="14" t="s">
        <v>88</v>
      </c>
      <c r="E14" s="15" t="s">
        <v>89</v>
      </c>
    </row>
    <row r="15" customFormat="false" ht="30" hidden="false" customHeight="true" outlineLevel="0" collapsed="false">
      <c r="A15" s="12" t="s">
        <v>85</v>
      </c>
      <c r="B15" s="13" t="s">
        <v>90</v>
      </c>
      <c r="C15" s="12" t="s">
        <v>91</v>
      </c>
      <c r="D15" s="14" t="s">
        <v>92</v>
      </c>
      <c r="E15" s="15" t="s">
        <v>93</v>
      </c>
    </row>
    <row r="16" customFormat="false" ht="30" hidden="false" customHeight="true" outlineLevel="0" collapsed="false">
      <c r="A16" s="12" t="s">
        <v>85</v>
      </c>
      <c r="B16" s="13" t="s">
        <v>94</v>
      </c>
      <c r="C16" s="12" t="s">
        <v>61</v>
      </c>
      <c r="D16" s="14" t="s">
        <v>95</v>
      </c>
      <c r="E16" s="15" t="s">
        <v>96</v>
      </c>
    </row>
    <row r="17" customFormat="false" ht="30" hidden="false" customHeight="true" outlineLevel="0" collapsed="false">
      <c r="A17" s="12" t="s">
        <v>97</v>
      </c>
      <c r="B17" s="13" t="s">
        <v>98</v>
      </c>
      <c r="C17" s="12" t="s">
        <v>99</v>
      </c>
      <c r="D17" s="14" t="s">
        <v>100</v>
      </c>
      <c r="E17" s="15" t="s">
        <v>101</v>
      </c>
    </row>
    <row r="18" customFormat="false" ht="30" hidden="false" customHeight="true" outlineLevel="0" collapsed="false">
      <c r="A18" s="12" t="s">
        <v>97</v>
      </c>
      <c r="B18" s="13" t="s">
        <v>102</v>
      </c>
      <c r="C18" s="12" t="s">
        <v>103</v>
      </c>
      <c r="D18" s="14" t="s">
        <v>104</v>
      </c>
      <c r="E18" s="15" t="s">
        <v>105</v>
      </c>
    </row>
    <row r="19" customFormat="false" ht="30" hidden="false" customHeight="true" outlineLevel="0" collapsed="false">
      <c r="A19" s="12" t="s">
        <v>97</v>
      </c>
      <c r="B19" s="13" t="s">
        <v>106</v>
      </c>
      <c r="C19" s="12" t="s">
        <v>107</v>
      </c>
      <c r="D19" s="14" t="s">
        <v>108</v>
      </c>
      <c r="E19" s="15" t="s">
        <v>109</v>
      </c>
    </row>
    <row r="20" customFormat="false" ht="30" hidden="false" customHeight="true" outlineLevel="0" collapsed="false">
      <c r="A20" s="12" t="s">
        <v>97</v>
      </c>
      <c r="B20" s="13" t="s">
        <v>110</v>
      </c>
      <c r="C20" s="12" t="s">
        <v>111</v>
      </c>
      <c r="D20" s="14" t="s">
        <v>112</v>
      </c>
      <c r="E20" s="15" t="s">
        <v>113</v>
      </c>
    </row>
    <row r="21" customFormat="false" ht="30" hidden="false" customHeight="true" outlineLevel="0" collapsed="false">
      <c r="A21" s="12" t="s">
        <v>97</v>
      </c>
      <c r="B21" s="13" t="s">
        <v>114</v>
      </c>
      <c r="C21" s="12" t="s">
        <v>115</v>
      </c>
      <c r="D21" s="14" t="s">
        <v>116</v>
      </c>
      <c r="E21" s="15" t="s">
        <v>117</v>
      </c>
    </row>
    <row r="22" customFormat="false" ht="30" hidden="false" customHeight="true" outlineLevel="0" collapsed="false">
      <c r="A22" s="12" t="s">
        <v>118</v>
      </c>
      <c r="B22" s="13" t="s">
        <v>119</v>
      </c>
      <c r="C22" s="12" t="s">
        <v>120</v>
      </c>
      <c r="D22" s="14" t="s">
        <v>121</v>
      </c>
      <c r="E22" s="15" t="s">
        <v>122</v>
      </c>
    </row>
    <row r="23" customFormat="false" ht="30" hidden="false" customHeight="true" outlineLevel="0" collapsed="false">
      <c r="A23" s="12" t="s">
        <v>118</v>
      </c>
      <c r="B23" s="13" t="s">
        <v>123</v>
      </c>
      <c r="C23" s="12" t="s">
        <v>124</v>
      </c>
      <c r="D23" s="14" t="s">
        <v>125</v>
      </c>
      <c r="E23" s="15" t="s">
        <v>126</v>
      </c>
    </row>
    <row r="24" customFormat="false" ht="30" hidden="false" customHeight="true" outlineLevel="0" collapsed="false">
      <c r="A24" s="12" t="s">
        <v>118</v>
      </c>
      <c r="B24" s="13" t="s">
        <v>127</v>
      </c>
      <c r="C24" s="12" t="s">
        <v>128</v>
      </c>
      <c r="D24" s="14" t="s">
        <v>129</v>
      </c>
      <c r="E24" s="15" t="s">
        <v>130</v>
      </c>
    </row>
    <row r="25" customFormat="false" ht="30" hidden="false" customHeight="true" outlineLevel="0" collapsed="false">
      <c r="A25" s="12" t="s">
        <v>131</v>
      </c>
      <c r="B25" s="13" t="s">
        <v>132</v>
      </c>
      <c r="C25" s="12" t="s">
        <v>133</v>
      </c>
      <c r="D25" s="14" t="s">
        <v>134</v>
      </c>
      <c r="E25" s="15" t="s">
        <v>135</v>
      </c>
    </row>
    <row r="26" customFormat="false" ht="30" hidden="false" customHeight="true" outlineLevel="0" collapsed="false">
      <c r="A26" s="12" t="s">
        <v>131</v>
      </c>
      <c r="B26" s="13" t="s">
        <v>136</v>
      </c>
      <c r="C26" s="12" t="s">
        <v>137</v>
      </c>
      <c r="D26" s="14"/>
      <c r="E26" s="15" t="s">
        <v>138</v>
      </c>
    </row>
    <row r="27" customFormat="false" ht="30" hidden="false" customHeight="true" outlineLevel="0" collapsed="false">
      <c r="A27" s="12" t="s">
        <v>131</v>
      </c>
      <c r="B27" s="13" t="s">
        <v>139</v>
      </c>
      <c r="C27" s="12" t="s">
        <v>140</v>
      </c>
      <c r="D27" s="14" t="s">
        <v>141</v>
      </c>
      <c r="E27" s="15" t="s">
        <v>142</v>
      </c>
    </row>
    <row r="28" customFormat="false" ht="30" hidden="false" customHeight="true" outlineLevel="0" collapsed="false">
      <c r="A28" s="12" t="s">
        <v>131</v>
      </c>
      <c r="B28" s="13" t="s">
        <v>143</v>
      </c>
      <c r="C28" s="12" t="s">
        <v>144</v>
      </c>
      <c r="D28" s="14" t="s">
        <v>145</v>
      </c>
      <c r="E28" s="15" t="s">
        <v>146</v>
      </c>
    </row>
    <row r="29" customFormat="false" ht="30" hidden="false" customHeight="true" outlineLevel="0" collapsed="false">
      <c r="A29" s="12" t="s">
        <v>147</v>
      </c>
      <c r="B29" s="13" t="s">
        <v>148</v>
      </c>
      <c r="C29" s="12" t="s">
        <v>149</v>
      </c>
      <c r="D29" s="14" t="s">
        <v>150</v>
      </c>
      <c r="E29" s="15" t="s">
        <v>151</v>
      </c>
    </row>
    <row r="30" customFormat="false" ht="30" hidden="false" customHeight="true" outlineLevel="0" collapsed="false">
      <c r="A30" s="12" t="s">
        <v>147</v>
      </c>
      <c r="B30" s="13" t="s">
        <v>152</v>
      </c>
      <c r="C30" s="12" t="s">
        <v>153</v>
      </c>
      <c r="D30" s="14"/>
      <c r="E30" s="15" t="s">
        <v>154</v>
      </c>
    </row>
    <row r="31" customFormat="false" ht="30" hidden="false" customHeight="true" outlineLevel="0" collapsed="false">
      <c r="A31" s="12" t="s">
        <v>155</v>
      </c>
      <c r="B31" s="13" t="s">
        <v>156</v>
      </c>
      <c r="C31" s="12" t="s">
        <v>157</v>
      </c>
      <c r="D31" s="14" t="s">
        <v>158</v>
      </c>
      <c r="E31" s="15" t="s">
        <v>159</v>
      </c>
    </row>
    <row r="32" customFormat="false" ht="30" hidden="false" customHeight="true" outlineLevel="0" collapsed="false">
      <c r="A32" s="12" t="s">
        <v>155</v>
      </c>
      <c r="B32" s="13" t="s">
        <v>160</v>
      </c>
      <c r="C32" s="12" t="s">
        <v>161</v>
      </c>
      <c r="D32" s="14" t="s">
        <v>162</v>
      </c>
      <c r="E32" s="15" t="s">
        <v>163</v>
      </c>
    </row>
    <row r="33" customFormat="false" ht="30" hidden="false" customHeight="true" outlineLevel="0" collapsed="false">
      <c r="A33" s="12" t="s">
        <v>155</v>
      </c>
      <c r="B33" s="13" t="s">
        <v>164</v>
      </c>
      <c r="C33" s="12" t="s">
        <v>165</v>
      </c>
      <c r="D33" s="14" t="s">
        <v>166</v>
      </c>
      <c r="E33" s="15" t="s">
        <v>167</v>
      </c>
    </row>
    <row r="34" customFormat="false" ht="30" hidden="false" customHeight="true" outlineLevel="0" collapsed="false">
      <c r="A34" s="12" t="s">
        <v>155</v>
      </c>
      <c r="B34" s="13" t="s">
        <v>168</v>
      </c>
      <c r="C34" s="12" t="s">
        <v>169</v>
      </c>
      <c r="D34" s="14" t="s">
        <v>170</v>
      </c>
      <c r="E34" s="15" t="s">
        <v>171</v>
      </c>
    </row>
    <row r="35" customFormat="false" ht="30" hidden="false" customHeight="true" outlineLevel="0" collapsed="false">
      <c r="A35" s="12" t="s">
        <v>155</v>
      </c>
      <c r="B35" s="13" t="s">
        <v>172</v>
      </c>
      <c r="C35" s="12" t="s">
        <v>173</v>
      </c>
      <c r="D35" s="14" t="s">
        <v>174</v>
      </c>
      <c r="E35" s="15" t="s">
        <v>175</v>
      </c>
    </row>
    <row r="36" customFormat="false" ht="30" hidden="false" customHeight="true" outlineLevel="0" collapsed="false">
      <c r="A36" s="12" t="s">
        <v>176</v>
      </c>
      <c r="B36" s="13" t="s">
        <v>177</v>
      </c>
      <c r="C36" s="12" t="s">
        <v>178</v>
      </c>
      <c r="D36" s="14" t="s">
        <v>179</v>
      </c>
      <c r="E36" s="15" t="s">
        <v>180</v>
      </c>
    </row>
    <row r="37" customFormat="false" ht="30" hidden="false" customHeight="true" outlineLevel="0" collapsed="false">
      <c r="A37" s="12" t="s">
        <v>176</v>
      </c>
      <c r="B37" s="13" t="s">
        <v>181</v>
      </c>
      <c r="C37" s="12" t="s">
        <v>182</v>
      </c>
      <c r="D37" s="14" t="s">
        <v>183</v>
      </c>
      <c r="E37" s="15" t="s">
        <v>184</v>
      </c>
    </row>
    <row r="38" customFormat="false" ht="30" hidden="false" customHeight="true" outlineLevel="0" collapsed="false">
      <c r="A38" s="12" t="s">
        <v>176</v>
      </c>
      <c r="B38" s="13" t="s">
        <v>164</v>
      </c>
      <c r="C38" s="12" t="s">
        <v>185</v>
      </c>
      <c r="D38" s="14" t="s">
        <v>186</v>
      </c>
      <c r="E38" s="15" t="s">
        <v>187</v>
      </c>
    </row>
    <row r="39" customFormat="false" ht="30" hidden="false" customHeight="true" outlineLevel="0" collapsed="false">
      <c r="A39" s="12" t="s">
        <v>176</v>
      </c>
      <c r="B39" s="13" t="s">
        <v>188</v>
      </c>
      <c r="C39" s="12" t="s">
        <v>189</v>
      </c>
      <c r="D39" s="14" t="s">
        <v>190</v>
      </c>
      <c r="E39" s="15" t="s">
        <v>191</v>
      </c>
    </row>
    <row r="40" customFormat="false" ht="30" hidden="false" customHeight="true" outlineLevel="0" collapsed="false">
      <c r="A40" s="12" t="s">
        <v>192</v>
      </c>
      <c r="B40" s="13" t="s">
        <v>193</v>
      </c>
      <c r="C40" s="12" t="s">
        <v>194</v>
      </c>
      <c r="D40" s="14" t="s">
        <v>195</v>
      </c>
      <c r="E40" s="15" t="s">
        <v>196</v>
      </c>
    </row>
    <row r="41" customFormat="false" ht="30" hidden="false" customHeight="true" outlineLevel="0" collapsed="false">
      <c r="A41" s="12" t="s">
        <v>192</v>
      </c>
      <c r="B41" s="13" t="s">
        <v>197</v>
      </c>
      <c r="C41" s="12" t="s">
        <v>198</v>
      </c>
      <c r="D41" s="14" t="s">
        <v>199</v>
      </c>
      <c r="E41" s="15" t="s">
        <v>200</v>
      </c>
    </row>
    <row r="42" customFormat="false" ht="30" hidden="false" customHeight="true" outlineLevel="0" collapsed="false">
      <c r="A42" s="12" t="s">
        <v>201</v>
      </c>
      <c r="B42" s="13" t="s">
        <v>202</v>
      </c>
      <c r="C42" s="12" t="s">
        <v>203</v>
      </c>
      <c r="D42" s="14" t="s">
        <v>204</v>
      </c>
      <c r="E42" s="15" t="s">
        <v>205</v>
      </c>
    </row>
    <row r="43" customFormat="false" ht="30" hidden="false" customHeight="true" outlineLevel="0" collapsed="false">
      <c r="A43" s="12" t="s">
        <v>201</v>
      </c>
      <c r="B43" s="13" t="s">
        <v>206</v>
      </c>
      <c r="C43" s="12" t="s">
        <v>207</v>
      </c>
      <c r="D43" s="14" t="s">
        <v>208</v>
      </c>
      <c r="E43" s="15" t="s">
        <v>209</v>
      </c>
    </row>
    <row r="44" customFormat="false" ht="30" hidden="false" customHeight="true" outlineLevel="0" collapsed="false">
      <c r="A44" s="12" t="s">
        <v>201</v>
      </c>
      <c r="B44" s="13" t="s">
        <v>210</v>
      </c>
      <c r="C44" s="12" t="s">
        <v>211</v>
      </c>
      <c r="D44" s="14" t="s">
        <v>212</v>
      </c>
      <c r="E44" s="15" t="s">
        <v>213</v>
      </c>
    </row>
    <row r="45" customFormat="false" ht="30" hidden="false" customHeight="true" outlineLevel="0" collapsed="false">
      <c r="A45" s="12" t="s">
        <v>214</v>
      </c>
      <c r="B45" s="13" t="s">
        <v>215</v>
      </c>
      <c r="C45" s="12" t="s">
        <v>216</v>
      </c>
      <c r="D45" s="14" t="s">
        <v>217</v>
      </c>
      <c r="E45" s="15" t="s">
        <v>218</v>
      </c>
    </row>
    <row r="46" customFormat="false" ht="30" hidden="false" customHeight="true" outlineLevel="0" collapsed="false">
      <c r="A46" s="12" t="s">
        <v>219</v>
      </c>
      <c r="B46" s="13" t="s">
        <v>220</v>
      </c>
      <c r="C46" s="12" t="s">
        <v>221</v>
      </c>
      <c r="D46" s="14" t="s">
        <v>222</v>
      </c>
      <c r="E46" s="15" t="s">
        <v>223</v>
      </c>
    </row>
    <row r="47" customFormat="false" ht="30" hidden="false" customHeight="true" outlineLevel="0" collapsed="false">
      <c r="A47" s="12" t="s">
        <v>219</v>
      </c>
      <c r="B47" s="13" t="s">
        <v>224</v>
      </c>
      <c r="C47" s="12" t="s">
        <v>225</v>
      </c>
      <c r="D47" s="14" t="s">
        <v>226</v>
      </c>
      <c r="E47" s="15" t="s">
        <v>227</v>
      </c>
    </row>
    <row r="48" customFormat="false" ht="30" hidden="false" customHeight="true" outlineLevel="0" collapsed="false">
      <c r="A48" s="12" t="s">
        <v>219</v>
      </c>
      <c r="B48" s="13" t="s">
        <v>228</v>
      </c>
      <c r="C48" s="12" t="s">
        <v>229</v>
      </c>
      <c r="D48" s="14" t="s">
        <v>230</v>
      </c>
      <c r="E48" s="15" t="s">
        <v>231</v>
      </c>
    </row>
    <row r="49" customFormat="false" ht="30" hidden="false" customHeight="true" outlineLevel="0" collapsed="false">
      <c r="A49" s="12" t="s">
        <v>219</v>
      </c>
      <c r="B49" s="13" t="s">
        <v>232</v>
      </c>
      <c r="C49" s="12" t="s">
        <v>233</v>
      </c>
      <c r="D49" s="14" t="s">
        <v>234</v>
      </c>
      <c r="E49" s="15" t="s">
        <v>235</v>
      </c>
    </row>
    <row r="50" customFormat="false" ht="30" hidden="false" customHeight="true" outlineLevel="0" collapsed="false">
      <c r="A50" s="12" t="s">
        <v>236</v>
      </c>
      <c r="B50" s="13" t="s">
        <v>237</v>
      </c>
      <c r="C50" s="12" t="s">
        <v>238</v>
      </c>
      <c r="D50" s="14" t="s">
        <v>239</v>
      </c>
      <c r="E50" s="15" t="s">
        <v>240</v>
      </c>
    </row>
    <row r="51" customFormat="false" ht="30" hidden="false" customHeight="true" outlineLevel="0" collapsed="false">
      <c r="A51" s="12" t="s">
        <v>241</v>
      </c>
      <c r="B51" s="13" t="s">
        <v>242</v>
      </c>
      <c r="C51" s="12" t="s">
        <v>243</v>
      </c>
      <c r="D51" s="14" t="s">
        <v>244</v>
      </c>
      <c r="E51" s="15" t="s">
        <v>245</v>
      </c>
    </row>
    <row r="52" customFormat="false" ht="30" hidden="false" customHeight="true" outlineLevel="0" collapsed="false">
      <c r="A52" s="12" t="s">
        <v>246</v>
      </c>
      <c r="B52" s="13" t="s">
        <v>247</v>
      </c>
      <c r="C52" s="12" t="s">
        <v>248</v>
      </c>
      <c r="D52" s="14" t="s">
        <v>249</v>
      </c>
      <c r="E52" s="15" t="s">
        <v>250</v>
      </c>
    </row>
    <row r="53" customFormat="false" ht="30" hidden="false" customHeight="true" outlineLevel="0" collapsed="false">
      <c r="A53" s="12" t="s">
        <v>251</v>
      </c>
      <c r="B53" s="13" t="s">
        <v>252</v>
      </c>
      <c r="C53" s="12" t="s">
        <v>253</v>
      </c>
      <c r="D53" s="14" t="s">
        <v>254</v>
      </c>
      <c r="E53" s="15" t="s">
        <v>250</v>
      </c>
    </row>
    <row r="54" customFormat="false" ht="30" hidden="false" customHeight="true" outlineLevel="0" collapsed="false">
      <c r="A54" s="12" t="s">
        <v>255</v>
      </c>
      <c r="B54" s="13" t="s">
        <v>256</v>
      </c>
      <c r="C54" s="12" t="s">
        <v>257</v>
      </c>
      <c r="D54" s="14" t="s">
        <v>258</v>
      </c>
      <c r="E54" s="15" t="s">
        <v>259</v>
      </c>
    </row>
    <row r="55" customFormat="false" ht="30" hidden="false" customHeight="true" outlineLevel="0" collapsed="false">
      <c r="A55" s="12" t="s">
        <v>260</v>
      </c>
      <c r="B55" s="13" t="s">
        <v>261</v>
      </c>
      <c r="C55" s="12" t="s">
        <v>262</v>
      </c>
      <c r="D55" s="14" t="s">
        <v>263</v>
      </c>
      <c r="E55" s="15" t="s">
        <v>264</v>
      </c>
    </row>
    <row r="56" customFormat="false" ht="30" hidden="false" customHeight="true" outlineLevel="0" collapsed="false">
      <c r="A56" s="12" t="s">
        <v>265</v>
      </c>
      <c r="B56" s="13" t="s">
        <v>266</v>
      </c>
      <c r="C56" s="12" t="s">
        <v>267</v>
      </c>
      <c r="D56" s="14" t="s">
        <v>268</v>
      </c>
      <c r="E56" s="15" t="s">
        <v>269</v>
      </c>
    </row>
    <row r="57" customFormat="false" ht="30" hidden="false" customHeight="true" outlineLevel="0" collapsed="false">
      <c r="A57" s="12" t="s">
        <v>270</v>
      </c>
      <c r="B57" s="13" t="s">
        <v>271</v>
      </c>
      <c r="C57" s="12" t="s">
        <v>272</v>
      </c>
      <c r="D57" s="14" t="s">
        <v>273</v>
      </c>
      <c r="E57" s="15" t="s">
        <v>274</v>
      </c>
    </row>
    <row r="58" customFormat="false" ht="30" hidden="false" customHeight="true" outlineLevel="0" collapsed="false">
      <c r="A58" s="12" t="s">
        <v>275</v>
      </c>
      <c r="B58" s="13" t="s">
        <v>276</v>
      </c>
      <c r="C58" s="12" t="s">
        <v>277</v>
      </c>
      <c r="D58" s="14" t="s">
        <v>278</v>
      </c>
      <c r="E58" s="15" t="s">
        <v>279</v>
      </c>
    </row>
    <row r="59" customFormat="false" ht="30" hidden="false" customHeight="true" outlineLevel="0" collapsed="false">
      <c r="A59" s="12" t="s">
        <v>280</v>
      </c>
      <c r="B59" s="13" t="s">
        <v>281</v>
      </c>
      <c r="C59" s="12" t="s">
        <v>282</v>
      </c>
      <c r="D59" s="14" t="s">
        <v>283</v>
      </c>
      <c r="E59" s="15" t="s">
        <v>284</v>
      </c>
    </row>
    <row r="60" customFormat="false" ht="30" hidden="false" customHeight="true" outlineLevel="0" collapsed="false">
      <c r="A60" s="12" t="s">
        <v>280</v>
      </c>
      <c r="B60" s="13" t="s">
        <v>285</v>
      </c>
      <c r="C60" s="12" t="s">
        <v>286</v>
      </c>
      <c r="D60" s="14" t="s">
        <v>287</v>
      </c>
      <c r="E60" s="15" t="s">
        <v>288</v>
      </c>
    </row>
    <row r="61" customFormat="false" ht="30" hidden="false" customHeight="true" outlineLevel="0" collapsed="false">
      <c r="A61" s="12" t="s">
        <v>219</v>
      </c>
      <c r="B61" s="13" t="s">
        <v>289</v>
      </c>
      <c r="C61" s="12" t="s">
        <v>290</v>
      </c>
      <c r="D61" s="14" t="s">
        <v>291</v>
      </c>
      <c r="E61" s="15" t="s">
        <v>292</v>
      </c>
    </row>
    <row r="62" customFormat="false" ht="30" hidden="false" customHeight="true" outlineLevel="0" collapsed="false">
      <c r="A62" s="12" t="s">
        <v>293</v>
      </c>
      <c r="B62" s="13" t="s">
        <v>294</v>
      </c>
      <c r="C62" s="12" t="s">
        <v>295</v>
      </c>
      <c r="D62" s="14" t="s">
        <v>296</v>
      </c>
      <c r="E62" s="15" t="s">
        <v>297</v>
      </c>
    </row>
    <row r="63" customFormat="false" ht="30" hidden="false" customHeight="true" outlineLevel="0" collapsed="false">
      <c r="A63" s="12" t="s">
        <v>293</v>
      </c>
      <c r="B63" s="13" t="s">
        <v>298</v>
      </c>
      <c r="C63" s="12" t="s">
        <v>299</v>
      </c>
      <c r="D63" s="14" t="s">
        <v>296</v>
      </c>
      <c r="E63" s="15" t="s">
        <v>297</v>
      </c>
    </row>
    <row r="64" customFormat="false" ht="30" hidden="false" customHeight="true" outlineLevel="0" collapsed="false">
      <c r="A64" s="12" t="s">
        <v>293</v>
      </c>
      <c r="B64" s="13" t="s">
        <v>300</v>
      </c>
      <c r="C64" s="12" t="s">
        <v>301</v>
      </c>
      <c r="D64" s="14" t="s">
        <v>302</v>
      </c>
      <c r="E64" s="15" t="s">
        <v>303</v>
      </c>
    </row>
    <row r="65" customFormat="false" ht="30" hidden="false" customHeight="true" outlineLevel="0" collapsed="false">
      <c r="A65" s="12" t="s">
        <v>293</v>
      </c>
      <c r="B65" s="13" t="s">
        <v>304</v>
      </c>
      <c r="C65" s="12" t="s">
        <v>305</v>
      </c>
      <c r="D65" s="14" t="s">
        <v>306</v>
      </c>
      <c r="E65" s="15" t="s">
        <v>307</v>
      </c>
    </row>
    <row r="66" customFormat="false" ht="30" hidden="false" customHeight="true" outlineLevel="0" collapsed="false">
      <c r="A66" s="12" t="s">
        <v>293</v>
      </c>
      <c r="B66" s="13" t="s">
        <v>308</v>
      </c>
      <c r="C66" s="12" t="s">
        <v>309</v>
      </c>
      <c r="D66" s="14" t="s">
        <v>310</v>
      </c>
      <c r="E66" s="15" t="s">
        <v>311</v>
      </c>
    </row>
    <row r="67" customFormat="false" ht="30" hidden="false" customHeight="true" outlineLevel="0" collapsed="false">
      <c r="A67" s="12" t="s">
        <v>293</v>
      </c>
      <c r="B67" s="13" t="s">
        <v>312</v>
      </c>
      <c r="C67" s="12" t="s">
        <v>313</v>
      </c>
      <c r="D67" s="14" t="s">
        <v>314</v>
      </c>
      <c r="E67" s="15" t="s">
        <v>315</v>
      </c>
    </row>
    <row r="68" customFormat="false" ht="30" hidden="false" customHeight="true" outlineLevel="0" collapsed="false">
      <c r="A68" s="12" t="s">
        <v>293</v>
      </c>
      <c r="B68" s="13" t="s">
        <v>316</v>
      </c>
      <c r="C68" s="12" t="s">
        <v>317</v>
      </c>
      <c r="D68" s="14" t="s">
        <v>318</v>
      </c>
      <c r="E68" s="15" t="s">
        <v>319</v>
      </c>
    </row>
    <row r="69" customFormat="false" ht="30" hidden="false" customHeight="true" outlineLevel="0" collapsed="false">
      <c r="A69" s="12" t="s">
        <v>293</v>
      </c>
      <c r="B69" s="13" t="s">
        <v>320</v>
      </c>
      <c r="C69" s="12" t="s">
        <v>321</v>
      </c>
      <c r="D69" s="14" t="s">
        <v>322</v>
      </c>
      <c r="E69" s="15" t="s">
        <v>323</v>
      </c>
    </row>
    <row r="70" customFormat="false" ht="30" hidden="false" customHeight="true" outlineLevel="0" collapsed="false">
      <c r="A70" s="12" t="s">
        <v>293</v>
      </c>
      <c r="B70" s="13" t="s">
        <v>324</v>
      </c>
      <c r="C70" s="12" t="s">
        <v>325</v>
      </c>
      <c r="D70" s="14" t="s">
        <v>326</v>
      </c>
      <c r="E70" s="15" t="s">
        <v>327</v>
      </c>
    </row>
    <row r="71" customFormat="false" ht="30" hidden="false" customHeight="true" outlineLevel="0" collapsed="false">
      <c r="A71" s="12" t="s">
        <v>328</v>
      </c>
      <c r="B71" s="13" t="s">
        <v>329</v>
      </c>
      <c r="C71" s="12" t="s">
        <v>330</v>
      </c>
      <c r="D71" s="14" t="s">
        <v>331</v>
      </c>
      <c r="E71" s="15" t="s">
        <v>332</v>
      </c>
    </row>
    <row r="72" customFormat="false" ht="30" hidden="false" customHeight="true" outlineLevel="0" collapsed="false">
      <c r="A72" s="16" t="s">
        <v>328</v>
      </c>
      <c r="B72" s="17" t="s">
        <v>333</v>
      </c>
      <c r="C72" s="16" t="s">
        <v>334</v>
      </c>
      <c r="D72" s="18"/>
      <c r="E72" s="18"/>
    </row>
    <row r="73" customFormat="false" ht="30" hidden="false" customHeight="true" outlineLevel="0" collapsed="false">
      <c r="A73" s="12" t="s">
        <v>328</v>
      </c>
      <c r="B73" s="13" t="s">
        <v>335</v>
      </c>
      <c r="C73" s="12" t="s">
        <v>336</v>
      </c>
      <c r="D73" s="14" t="s">
        <v>337</v>
      </c>
      <c r="E73" s="15" t="s">
        <v>338</v>
      </c>
    </row>
    <row r="74" customFormat="false" ht="30" hidden="false" customHeight="true" outlineLevel="0" collapsed="false">
      <c r="A74" s="12" t="s">
        <v>328</v>
      </c>
      <c r="B74" s="13" t="s">
        <v>339</v>
      </c>
      <c r="C74" s="12" t="s">
        <v>340</v>
      </c>
      <c r="D74" s="14" t="s">
        <v>341</v>
      </c>
      <c r="E74" s="15" t="s">
        <v>342</v>
      </c>
    </row>
    <row r="75" customFormat="false" ht="30" hidden="false" customHeight="true" outlineLevel="0" collapsed="false">
      <c r="A75" s="16" t="s">
        <v>328</v>
      </c>
      <c r="B75" s="17" t="s">
        <v>343</v>
      </c>
      <c r="C75" s="16" t="s">
        <v>344</v>
      </c>
      <c r="D75" s="18"/>
      <c r="E75" s="18"/>
    </row>
    <row r="76" customFormat="false" ht="30" hidden="false" customHeight="true" outlineLevel="0" collapsed="false">
      <c r="A76" s="12" t="s">
        <v>328</v>
      </c>
      <c r="B76" s="13" t="s">
        <v>345</v>
      </c>
      <c r="C76" s="12" t="s">
        <v>346</v>
      </c>
      <c r="D76" s="14" t="s">
        <v>347</v>
      </c>
      <c r="E76" s="15" t="s">
        <v>348</v>
      </c>
    </row>
    <row r="77" customFormat="false" ht="30" hidden="false" customHeight="true" outlineLevel="0" collapsed="false">
      <c r="A77" s="12" t="s">
        <v>349</v>
      </c>
      <c r="B77" s="13" t="s">
        <v>350</v>
      </c>
      <c r="C77" s="12" t="s">
        <v>351</v>
      </c>
      <c r="D77" s="14" t="s">
        <v>352</v>
      </c>
      <c r="E77" s="15" t="s">
        <v>353</v>
      </c>
    </row>
    <row r="78" customFormat="false" ht="30" hidden="false" customHeight="true" outlineLevel="0" collapsed="false">
      <c r="A78" s="12" t="s">
        <v>349</v>
      </c>
      <c r="B78" s="13" t="s">
        <v>354</v>
      </c>
      <c r="C78" s="12" t="s">
        <v>355</v>
      </c>
      <c r="D78" s="14" t="s">
        <v>356</v>
      </c>
      <c r="E78" s="15" t="s">
        <v>357</v>
      </c>
    </row>
    <row r="79" customFormat="false" ht="30" hidden="false" customHeight="true" outlineLevel="0" collapsed="false">
      <c r="A79" s="12" t="s">
        <v>349</v>
      </c>
      <c r="B79" s="13" t="s">
        <v>358</v>
      </c>
      <c r="C79" s="12" t="s">
        <v>359</v>
      </c>
      <c r="D79" s="14" t="s">
        <v>360</v>
      </c>
      <c r="E79" s="15" t="s">
        <v>361</v>
      </c>
    </row>
    <row r="80" customFormat="false" ht="30" hidden="false" customHeight="true" outlineLevel="0" collapsed="false">
      <c r="A80" s="12" t="s">
        <v>349</v>
      </c>
      <c r="B80" s="13" t="s">
        <v>362</v>
      </c>
      <c r="C80" s="12" t="s">
        <v>363</v>
      </c>
      <c r="D80" s="14" t="s">
        <v>364</v>
      </c>
      <c r="E80" s="15" t="s">
        <v>365</v>
      </c>
    </row>
    <row r="81" customFormat="false" ht="30" hidden="false" customHeight="true" outlineLevel="0" collapsed="false">
      <c r="A81" s="12" t="s">
        <v>366</v>
      </c>
      <c r="B81" s="13" t="s">
        <v>367</v>
      </c>
      <c r="C81" s="12" t="s">
        <v>368</v>
      </c>
      <c r="D81" s="14" t="s">
        <v>296</v>
      </c>
      <c r="E81" s="15" t="s">
        <v>297</v>
      </c>
    </row>
    <row r="82" customFormat="false" ht="30" hidden="false" customHeight="true" outlineLevel="0" collapsed="false">
      <c r="A82" s="12" t="s">
        <v>366</v>
      </c>
      <c r="B82" s="13" t="s">
        <v>369</v>
      </c>
      <c r="C82" s="12" t="s">
        <v>173</v>
      </c>
      <c r="D82" s="14" t="s">
        <v>296</v>
      </c>
      <c r="E82" s="15" t="s">
        <v>297</v>
      </c>
    </row>
    <row r="83" customFormat="false" ht="30" hidden="false" customHeight="true" outlineLevel="0" collapsed="false">
      <c r="A83" s="12" t="s">
        <v>366</v>
      </c>
      <c r="B83" s="13" t="s">
        <v>370</v>
      </c>
      <c r="C83" s="12" t="s">
        <v>371</v>
      </c>
      <c r="D83" s="14" t="s">
        <v>372</v>
      </c>
      <c r="E83" s="15" t="s">
        <v>373</v>
      </c>
    </row>
    <row r="84" customFormat="false" ht="30" hidden="false" customHeight="true" outlineLevel="0" collapsed="false">
      <c r="A84" s="12" t="s">
        <v>366</v>
      </c>
      <c r="B84" s="13" t="s">
        <v>374</v>
      </c>
      <c r="C84" s="12" t="s">
        <v>375</v>
      </c>
      <c r="D84" s="14" t="s">
        <v>376</v>
      </c>
      <c r="E84" s="15" t="s">
        <v>377</v>
      </c>
    </row>
    <row r="85" customFormat="false" ht="30" hidden="false" customHeight="true" outlineLevel="0" collapsed="false">
      <c r="A85" s="12" t="s">
        <v>366</v>
      </c>
      <c r="B85" s="13" t="s">
        <v>378</v>
      </c>
      <c r="C85" s="12" t="s">
        <v>379</v>
      </c>
      <c r="D85" s="14" t="s">
        <v>380</v>
      </c>
      <c r="E85" s="15" t="s">
        <v>381</v>
      </c>
    </row>
    <row r="86" customFormat="false" ht="30" hidden="false" customHeight="true" outlineLevel="0" collapsed="false">
      <c r="A86" s="12" t="s">
        <v>366</v>
      </c>
      <c r="B86" s="13" t="s">
        <v>382</v>
      </c>
      <c r="C86" s="12" t="s">
        <v>383</v>
      </c>
      <c r="D86" s="14" t="s">
        <v>384</v>
      </c>
      <c r="E86" s="15" t="s">
        <v>385</v>
      </c>
    </row>
    <row r="87" customFormat="false" ht="63.75" hidden="false" customHeight="true" outlineLevel="0" collapsed="false">
      <c r="A87" s="12" t="s">
        <v>366</v>
      </c>
      <c r="B87" s="13" t="s">
        <v>386</v>
      </c>
      <c r="C87" s="12" t="s">
        <v>387</v>
      </c>
      <c r="D87" s="14" t="s">
        <v>388</v>
      </c>
      <c r="E87" s="15" t="s">
        <v>389</v>
      </c>
    </row>
    <row r="88" customFormat="false" ht="15" hidden="false" customHeight="true" outlineLevel="0" collapsed="false">
      <c r="A88" s="8" t="s">
        <v>366</v>
      </c>
      <c r="B88" s="7" t="s">
        <v>390</v>
      </c>
      <c r="C88" s="8" t="s">
        <v>391</v>
      </c>
      <c r="D88" s="9" t="s">
        <v>392</v>
      </c>
      <c r="E88" s="10" t="s">
        <v>393</v>
      </c>
    </row>
    <row r="89" customFormat="false" ht="42" hidden="false" customHeight="true" outlineLevel="0" collapsed="false">
      <c r="A89" s="8" t="s">
        <v>394</v>
      </c>
      <c r="B89" s="7" t="s">
        <v>395</v>
      </c>
      <c r="C89" s="8" t="s">
        <v>396</v>
      </c>
      <c r="D89" s="9" t="s">
        <v>397</v>
      </c>
      <c r="E89" s="10" t="s">
        <v>398</v>
      </c>
    </row>
    <row r="90" customFormat="false" ht="42" hidden="false" customHeight="true" outlineLevel="0" collapsed="false">
      <c r="A90" s="12" t="s">
        <v>399</v>
      </c>
      <c r="B90" s="13" t="s">
        <v>400</v>
      </c>
      <c r="C90" s="12" t="s">
        <v>401</v>
      </c>
      <c r="D90" s="14" t="s">
        <v>402</v>
      </c>
      <c r="E90" s="15" t="s">
        <v>403</v>
      </c>
    </row>
    <row r="91" customFormat="false" ht="42" hidden="false" customHeight="true" outlineLevel="0" collapsed="false">
      <c r="A91" s="12" t="s">
        <v>399</v>
      </c>
      <c r="B91" s="13" t="s">
        <v>404</v>
      </c>
      <c r="C91" s="12" t="s">
        <v>405</v>
      </c>
      <c r="D91" s="14" t="s">
        <v>406</v>
      </c>
      <c r="E91" s="15" t="s">
        <v>407</v>
      </c>
    </row>
    <row r="92" customFormat="false" ht="42" hidden="false" customHeight="true" outlineLevel="0" collapsed="false">
      <c r="A92" s="12" t="s">
        <v>399</v>
      </c>
      <c r="B92" s="13" t="s">
        <v>408</v>
      </c>
      <c r="C92" s="12" t="s">
        <v>409</v>
      </c>
      <c r="D92" s="14" t="s">
        <v>410</v>
      </c>
      <c r="E92" s="15" t="s">
        <v>411</v>
      </c>
    </row>
    <row r="93" customFormat="false" ht="42" hidden="false" customHeight="true" outlineLevel="0" collapsed="false">
      <c r="A93" s="12" t="s">
        <v>399</v>
      </c>
      <c r="B93" s="13" t="s">
        <v>412</v>
      </c>
      <c r="C93" s="12" t="s">
        <v>413</v>
      </c>
      <c r="D93" s="14" t="s">
        <v>414</v>
      </c>
      <c r="E93" s="15" t="s">
        <v>415</v>
      </c>
    </row>
    <row r="94" customFormat="false" ht="42" hidden="false" customHeight="true" outlineLevel="0" collapsed="false">
      <c r="A94" s="12" t="s">
        <v>416</v>
      </c>
      <c r="B94" s="13" t="s">
        <v>417</v>
      </c>
      <c r="C94" s="12" t="s">
        <v>418</v>
      </c>
      <c r="D94" s="14" t="s">
        <v>419</v>
      </c>
      <c r="E94" s="15" t="s">
        <v>420</v>
      </c>
    </row>
    <row r="95" customFormat="false" ht="42" hidden="false" customHeight="true" outlineLevel="0" collapsed="false">
      <c r="A95" s="12" t="s">
        <v>416</v>
      </c>
      <c r="B95" s="13" t="s">
        <v>421</v>
      </c>
      <c r="C95" s="12" t="s">
        <v>422</v>
      </c>
      <c r="D95" s="14" t="s">
        <v>423</v>
      </c>
      <c r="E95" s="15" t="s">
        <v>424</v>
      </c>
    </row>
    <row r="96" customFormat="false" ht="42" hidden="false" customHeight="true" outlineLevel="0" collapsed="false">
      <c r="A96" s="8" t="s">
        <v>425</v>
      </c>
      <c r="B96" s="7" t="s">
        <v>426</v>
      </c>
      <c r="C96" s="8" t="s">
        <v>427</v>
      </c>
      <c r="D96" s="9" t="s">
        <v>428</v>
      </c>
      <c r="E96" s="10" t="s">
        <v>429</v>
      </c>
    </row>
    <row r="97" customFormat="false" ht="42" hidden="false" customHeight="true" outlineLevel="0" collapsed="false">
      <c r="A97" s="8" t="s">
        <v>430</v>
      </c>
      <c r="B97" s="7" t="s">
        <v>431</v>
      </c>
      <c r="C97" s="8" t="s">
        <v>432</v>
      </c>
      <c r="D97" s="9" t="s">
        <v>433</v>
      </c>
      <c r="E97" s="10" t="s">
        <v>434</v>
      </c>
    </row>
    <row r="98" customFormat="false" ht="42" hidden="false" customHeight="true" outlineLevel="0" collapsed="false">
      <c r="A98" s="8" t="s">
        <v>435</v>
      </c>
      <c r="B98" s="7" t="s">
        <v>436</v>
      </c>
      <c r="C98" s="8" t="s">
        <v>437</v>
      </c>
      <c r="D98" s="9" t="s">
        <v>438</v>
      </c>
      <c r="E98" s="10" t="s">
        <v>439</v>
      </c>
    </row>
    <row r="99" customFormat="false" ht="42" hidden="false" customHeight="true" outlineLevel="0" collapsed="false">
      <c r="A99" s="8" t="s">
        <v>440</v>
      </c>
      <c r="B99" s="7" t="s">
        <v>441</v>
      </c>
      <c r="C99" s="8" t="s">
        <v>442</v>
      </c>
      <c r="D99" s="9" t="s">
        <v>443</v>
      </c>
      <c r="E99" s="10" t="s">
        <v>444</v>
      </c>
    </row>
    <row r="100" customFormat="false" ht="42" hidden="false" customHeight="true" outlineLevel="0" collapsed="false">
      <c r="A100" s="8" t="s">
        <v>445</v>
      </c>
      <c r="B100" s="7" t="s">
        <v>446</v>
      </c>
      <c r="C100" s="8" t="s">
        <v>447</v>
      </c>
      <c r="D100" s="9" t="s">
        <v>448</v>
      </c>
      <c r="E100" s="10" t="s">
        <v>449</v>
      </c>
    </row>
    <row r="101" customFormat="false" ht="42" hidden="false" customHeight="true" outlineLevel="0" collapsed="false">
      <c r="A101" s="8" t="s">
        <v>450</v>
      </c>
      <c r="B101" s="7" t="s">
        <v>451</v>
      </c>
      <c r="C101" s="8" t="s">
        <v>452</v>
      </c>
      <c r="D101" s="9" t="s">
        <v>453</v>
      </c>
      <c r="E101" s="10" t="s">
        <v>454</v>
      </c>
    </row>
    <row r="102" customFormat="false" ht="42" hidden="false" customHeight="true" outlineLevel="0" collapsed="false">
      <c r="A102" s="7"/>
      <c r="B102" s="7"/>
      <c r="C102" s="7"/>
      <c r="D102" s="7"/>
      <c r="E102" s="7"/>
    </row>
    <row r="103" customFormat="false" ht="42" hidden="false" customHeight="true" outlineLevel="0" collapsed="false">
      <c r="A103" s="7"/>
      <c r="B103" s="7"/>
      <c r="C103" s="7"/>
      <c r="D103" s="7"/>
      <c r="E103" s="7"/>
    </row>
    <row r="104" customFormat="false" ht="15" hidden="false" customHeight="true" outlineLevel="0" collapsed="false">
      <c r="A104" s="7"/>
      <c r="B104" s="7"/>
      <c r="C104" s="7"/>
      <c r="D104" s="7"/>
      <c r="E104" s="7"/>
    </row>
    <row r="106" customFormat="false" ht="23.25" hidden="false" customHeight="true" outlineLevel="0" collapsed="false">
      <c r="A106" s="16" t="s">
        <v>455</v>
      </c>
      <c r="B106" s="17" t="s">
        <v>456</v>
      </c>
      <c r="C106" s="16" t="s">
        <v>457</v>
      </c>
      <c r="D106" s="18"/>
      <c r="E106" s="18"/>
    </row>
    <row r="108" customFormat="false" ht="105.95" hidden="false" customHeight="false" outlineLevel="0" collapsed="false">
      <c r="A108" s="8" t="s">
        <v>458</v>
      </c>
      <c r="B108" s="7" t="s">
        <v>459</v>
      </c>
      <c r="C108" s="8" t="s">
        <v>460</v>
      </c>
      <c r="D108" s="9" t="s">
        <v>461</v>
      </c>
      <c r="E108" s="10" t="s">
        <v>462</v>
      </c>
    </row>
    <row r="109" customFormat="false" ht="53.7" hidden="false" customHeight="false" outlineLevel="0" collapsed="false">
      <c r="A109" s="8" t="s">
        <v>458</v>
      </c>
      <c r="B109" s="7" t="s">
        <v>463</v>
      </c>
      <c r="C109" s="8" t="s">
        <v>464</v>
      </c>
      <c r="D109" s="9" t="s">
        <v>465</v>
      </c>
      <c r="E109" s="10" t="s">
        <v>466</v>
      </c>
    </row>
    <row r="110" customFormat="false" ht="74.6" hidden="false" customHeight="false" outlineLevel="0" collapsed="false">
      <c r="A110" s="8" t="s">
        <v>458</v>
      </c>
      <c r="B110" s="7" t="s">
        <v>467</v>
      </c>
      <c r="C110" s="8" t="s">
        <v>468</v>
      </c>
      <c r="D110" s="9" t="s">
        <v>469</v>
      </c>
      <c r="E110" s="10" t="s">
        <v>470</v>
      </c>
    </row>
    <row r="111" customFormat="false" ht="74.6" hidden="false" customHeight="false" outlineLevel="0" collapsed="false">
      <c r="A111" s="8" t="s">
        <v>471</v>
      </c>
      <c r="B111" s="7" t="s">
        <v>472</v>
      </c>
      <c r="C111" s="8" t="s">
        <v>473</v>
      </c>
      <c r="D111" s="9" t="s">
        <v>474</v>
      </c>
      <c r="E111" s="10" t="s">
        <v>475</v>
      </c>
    </row>
    <row r="112" customFormat="false" ht="53.7" hidden="false" customHeight="false" outlineLevel="0" collapsed="false">
      <c r="A112" s="8" t="s">
        <v>476</v>
      </c>
      <c r="B112" s="7" t="s">
        <v>477</v>
      </c>
      <c r="C112" s="8" t="s">
        <v>478</v>
      </c>
      <c r="D112" s="9" t="s">
        <v>479</v>
      </c>
      <c r="E112" s="10" t="s">
        <v>480</v>
      </c>
    </row>
    <row r="113" customFormat="false" ht="43.25" hidden="false" customHeight="false" outlineLevel="0" collapsed="false">
      <c r="A113" s="8" t="s">
        <v>481</v>
      </c>
      <c r="B113" s="7" t="s">
        <v>482</v>
      </c>
      <c r="C113" s="8" t="s">
        <v>483</v>
      </c>
      <c r="D113" s="9" t="s">
        <v>484</v>
      </c>
      <c r="E113" s="10" t="s">
        <v>485</v>
      </c>
    </row>
    <row r="114" customFormat="false" ht="32.8" hidden="false" customHeight="false" outlineLevel="0" collapsed="false">
      <c r="A114" s="8" t="s">
        <v>486</v>
      </c>
      <c r="B114" s="7" t="s">
        <v>487</v>
      </c>
      <c r="C114" s="8" t="s">
        <v>488</v>
      </c>
      <c r="D114" s="9" t="s">
        <v>489</v>
      </c>
      <c r="E114" s="10" t="s">
        <v>490</v>
      </c>
    </row>
    <row r="115" customFormat="false" ht="85.05" hidden="false" customHeight="false" outlineLevel="0" collapsed="false">
      <c r="A115" s="8" t="s">
        <v>486</v>
      </c>
      <c r="B115" s="7" t="s">
        <v>491</v>
      </c>
      <c r="C115" s="8" t="s">
        <v>492</v>
      </c>
      <c r="D115" s="9" t="s">
        <v>493</v>
      </c>
      <c r="E115" s="10" t="s">
        <v>494</v>
      </c>
    </row>
    <row r="116" customFormat="false" ht="85.05" hidden="false" customHeight="false" outlineLevel="0" collapsed="false">
      <c r="A116" s="8" t="s">
        <v>495</v>
      </c>
      <c r="B116" s="7" t="s">
        <v>496</v>
      </c>
      <c r="C116" s="8" t="s">
        <v>497</v>
      </c>
      <c r="D116" s="9" t="s">
        <v>498</v>
      </c>
      <c r="E116" s="10" t="s">
        <v>499</v>
      </c>
    </row>
    <row r="117" customFormat="false" ht="64.15" hidden="false" customHeight="false" outlineLevel="0" collapsed="false">
      <c r="A117" s="8" t="s">
        <v>495</v>
      </c>
      <c r="B117" s="7" t="s">
        <v>500</v>
      </c>
      <c r="C117" s="8" t="s">
        <v>501</v>
      </c>
      <c r="D117" s="9" t="s">
        <v>502</v>
      </c>
      <c r="E117" s="10" t="s">
        <v>503</v>
      </c>
    </row>
    <row r="118" customFormat="false" ht="74.6" hidden="false" customHeight="false" outlineLevel="0" collapsed="false">
      <c r="A118" s="8" t="s">
        <v>504</v>
      </c>
      <c r="B118" s="7" t="s">
        <v>505</v>
      </c>
      <c r="C118" s="8" t="s">
        <v>506</v>
      </c>
      <c r="D118" s="9" t="s">
        <v>507</v>
      </c>
      <c r="E118" s="10" t="s">
        <v>508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4"/>
    <col collapsed="false" customWidth="true" hidden="false" outlineLevel="0" max="4" min="2" style="1" width="22"/>
    <col collapsed="false" customWidth="true" hidden="false" outlineLevel="0" max="5" min="5" style="1" width="60"/>
  </cols>
  <sheetData>
    <row r="1" customFormat="false" ht="19.5" hidden="false" customHeight="true" outlineLevel="0" collapsed="false">
      <c r="A1" s="2" t="s">
        <v>509</v>
      </c>
    </row>
    <row r="3" customFormat="false" ht="15" hidden="false" customHeight="true" outlineLevel="0" collapsed="false">
      <c r="A3" s="19" t="s">
        <v>510</v>
      </c>
      <c r="B3" s="20"/>
      <c r="C3" s="20"/>
      <c r="D3" s="20"/>
      <c r="E3" s="20"/>
    </row>
    <row r="4" customFormat="false" ht="27.75" hidden="false" customHeight="true" outlineLevel="0" collapsed="false">
      <c r="A4" s="21" t="s">
        <v>511</v>
      </c>
      <c r="B4" s="22" t="s">
        <v>512</v>
      </c>
      <c r="C4" s="18"/>
      <c r="D4" s="23"/>
      <c r="E4" s="24" t="s">
        <v>513</v>
      </c>
    </row>
    <row r="5" customFormat="false" ht="27.75" hidden="false" customHeight="true" outlineLevel="0" collapsed="false">
      <c r="A5" s="21" t="s">
        <v>514</v>
      </c>
      <c r="B5" s="22" t="s">
        <v>515</v>
      </c>
      <c r="C5" s="18"/>
      <c r="D5" s="23" t="s">
        <v>516</v>
      </c>
      <c r="E5" s="24" t="s">
        <v>122</v>
      </c>
    </row>
    <row r="6" customFormat="false" ht="27.75" hidden="false" customHeight="true" outlineLevel="0" collapsed="false">
      <c r="A6" s="21" t="s">
        <v>517</v>
      </c>
      <c r="B6" s="22" t="s">
        <v>518</v>
      </c>
      <c r="C6" s="18"/>
      <c r="D6" s="23"/>
      <c r="E6" s="24" t="s">
        <v>519</v>
      </c>
    </row>
    <row r="7" customFormat="false" ht="27.75" hidden="false" customHeight="true" outlineLevel="0" collapsed="false">
      <c r="A7" s="21" t="s">
        <v>520</v>
      </c>
      <c r="B7" s="22" t="s">
        <v>521</v>
      </c>
      <c r="C7" s="18"/>
      <c r="D7" s="23" t="s">
        <v>522</v>
      </c>
      <c r="E7" s="24" t="s">
        <v>523</v>
      </c>
    </row>
    <row r="8" customFormat="false" ht="27.75" hidden="false" customHeight="true" outlineLevel="0" collapsed="false">
      <c r="A8" s="21"/>
      <c r="B8" s="22"/>
      <c r="C8" s="18"/>
      <c r="D8" s="23"/>
      <c r="E8" s="24"/>
    </row>
    <row r="9" customFormat="false" ht="27.75" hidden="false" customHeight="true" outlineLevel="0" collapsed="false">
      <c r="A9" s="21" t="s">
        <v>524</v>
      </c>
      <c r="B9" s="22" t="s">
        <v>203</v>
      </c>
      <c r="C9" s="18"/>
      <c r="D9" s="23" t="s">
        <v>525</v>
      </c>
      <c r="E9" s="24" t="s">
        <v>526</v>
      </c>
    </row>
    <row r="10" customFormat="false" ht="27.75" hidden="false" customHeight="true" outlineLevel="0" collapsed="false">
      <c r="A10" s="21" t="s">
        <v>527</v>
      </c>
      <c r="B10" s="22" t="s">
        <v>528</v>
      </c>
      <c r="C10" s="18"/>
      <c r="D10" s="23" t="s">
        <v>529</v>
      </c>
      <c r="E10" s="24" t="s">
        <v>530</v>
      </c>
    </row>
    <row r="11" customFormat="false" ht="27.75" hidden="false" customHeight="true" outlineLevel="0" collapsed="false">
      <c r="A11" s="21"/>
      <c r="B11" s="22"/>
      <c r="C11" s="18"/>
      <c r="D11" s="23"/>
      <c r="E11" s="24"/>
    </row>
    <row r="12" customFormat="false" ht="27.75" hidden="false" customHeight="true" outlineLevel="0" collapsed="false">
      <c r="A12" s="25" t="s">
        <v>531</v>
      </c>
      <c r="B12" s="22"/>
      <c r="C12" s="18"/>
      <c r="D12" s="23"/>
      <c r="E12" s="24"/>
    </row>
    <row r="13" customFormat="false" ht="27.75" hidden="false" customHeight="true" outlineLevel="0" collapsed="false">
      <c r="A13" s="21" t="s">
        <v>532</v>
      </c>
      <c r="B13" s="22" t="s">
        <v>533</v>
      </c>
      <c r="C13" s="18"/>
      <c r="D13" s="23" t="s">
        <v>534</v>
      </c>
      <c r="E13" s="24" t="s">
        <v>535</v>
      </c>
    </row>
    <row r="14" customFormat="false" ht="27.75" hidden="false" customHeight="true" outlineLevel="0" collapsed="false">
      <c r="A14" s="21" t="s">
        <v>536</v>
      </c>
      <c r="B14" s="22" t="s">
        <v>537</v>
      </c>
      <c r="C14" s="18"/>
      <c r="D14" s="23" t="s">
        <v>538</v>
      </c>
      <c r="E14" s="24" t="s">
        <v>539</v>
      </c>
    </row>
    <row r="15" customFormat="false" ht="27.75" hidden="false" customHeight="true" outlineLevel="0" collapsed="false">
      <c r="A15" s="21" t="s">
        <v>540</v>
      </c>
      <c r="B15" s="22" t="s">
        <v>541</v>
      </c>
      <c r="C15" s="18"/>
      <c r="D15" s="23" t="s">
        <v>542</v>
      </c>
      <c r="E15" s="24" t="s">
        <v>543</v>
      </c>
    </row>
    <row r="16" customFormat="false" ht="27.75" hidden="false" customHeight="true" outlineLevel="0" collapsed="false">
      <c r="A16" s="21"/>
      <c r="B16" s="22"/>
      <c r="C16" s="18"/>
      <c r="D16" s="23"/>
      <c r="E16" s="24"/>
    </row>
    <row r="17" customFormat="false" ht="27.75" hidden="false" customHeight="true" outlineLevel="0" collapsed="false">
      <c r="A17" s="25" t="s">
        <v>544</v>
      </c>
      <c r="B17" s="22"/>
      <c r="C17" s="18"/>
      <c r="D17" s="23"/>
      <c r="E17" s="24"/>
    </row>
    <row r="18" customFormat="false" ht="27.75" hidden="false" customHeight="true" outlineLevel="0" collapsed="false">
      <c r="A18" s="21" t="s">
        <v>545</v>
      </c>
      <c r="B18" s="22" t="s">
        <v>546</v>
      </c>
      <c r="C18" s="18"/>
      <c r="D18" s="23" t="s">
        <v>547</v>
      </c>
      <c r="E18" s="24" t="s">
        <v>548</v>
      </c>
    </row>
    <row r="19" customFormat="false" ht="27.75" hidden="false" customHeight="true" outlineLevel="0" collapsed="false">
      <c r="A19" s="21" t="s">
        <v>549</v>
      </c>
      <c r="B19" s="22" t="s">
        <v>550</v>
      </c>
      <c r="C19" s="18"/>
      <c r="D19" s="23" t="s">
        <v>551</v>
      </c>
      <c r="E19" s="24" t="s">
        <v>552</v>
      </c>
    </row>
    <row r="21" customFormat="false" ht="15" hidden="false" customHeight="true" outlineLevel="0" collapsed="false">
      <c r="A21" s="19" t="s">
        <v>553</v>
      </c>
      <c r="B21" s="20"/>
      <c r="C21" s="20"/>
      <c r="D21" s="20"/>
      <c r="E21" s="20"/>
    </row>
    <row r="22" customFormat="false" ht="15" hidden="false" customHeight="true" outlineLevel="0" collapsed="false">
      <c r="A22" s="26" t="s">
        <v>554</v>
      </c>
      <c r="B22" s="26" t="s">
        <v>555</v>
      </c>
      <c r="C22" s="26" t="s">
        <v>556</v>
      </c>
      <c r="D22" s="26" t="s">
        <v>557</v>
      </c>
    </row>
    <row r="23" customFormat="false" ht="31.5" hidden="false" customHeight="true" outlineLevel="0" collapsed="false">
      <c r="A23" s="21" t="s">
        <v>558</v>
      </c>
      <c r="B23" s="27"/>
      <c r="C23" s="28"/>
      <c r="D23" s="23"/>
    </row>
    <row r="24" customFormat="false" ht="31.5" hidden="false" customHeight="true" outlineLevel="0" collapsed="false">
      <c r="A24" s="21" t="s">
        <v>559</v>
      </c>
      <c r="B24" s="27"/>
      <c r="C24" s="29"/>
      <c r="D24" s="23"/>
    </row>
    <row r="25" customFormat="false" ht="31.5" hidden="false" customHeight="true" outlineLevel="0" collapsed="false">
      <c r="A25" s="21" t="s">
        <v>560</v>
      </c>
      <c r="B25" s="27"/>
      <c r="C25" s="29"/>
      <c r="D25" s="23"/>
    </row>
    <row r="26" customFormat="false" ht="31.5" hidden="false" customHeight="true" outlineLevel="0" collapsed="false">
      <c r="A26" s="21" t="s">
        <v>561</v>
      </c>
      <c r="B26" s="27"/>
      <c r="C26" s="29"/>
      <c r="D26" s="23"/>
    </row>
    <row r="27" customFormat="false" ht="31.5" hidden="false" customHeight="true" outlineLevel="0" collapsed="false">
      <c r="A27" s="21" t="s">
        <v>562</v>
      </c>
      <c r="B27" s="27" t="n">
        <f aca="false">Scenario1B!B49</f>
        <v>37.6043522039413</v>
      </c>
      <c r="C27" s="29" t="s">
        <v>563</v>
      </c>
      <c r="D27" s="23" t="s">
        <v>564</v>
      </c>
    </row>
    <row r="28" customFormat="false" ht="31.5" hidden="false" customHeight="true" outlineLevel="0" collapsed="false">
      <c r="A28" s="21" t="s">
        <v>565</v>
      </c>
      <c r="B28" s="27" t="n">
        <f aca="false">Scenario3B!B50</f>
        <v>36.7996031931127</v>
      </c>
      <c r="C28" s="29" t="s">
        <v>566</v>
      </c>
      <c r="D28" s="23" t="s">
        <v>567</v>
      </c>
    </row>
    <row r="31" customFormat="false" ht="15" hidden="false" customHeight="true" outlineLevel="0" collapsed="false">
      <c r="A31" s="19" t="s">
        <v>568</v>
      </c>
      <c r="B31" s="20"/>
      <c r="C31" s="20"/>
      <c r="D31" s="20"/>
      <c r="E31" s="20"/>
    </row>
    <row r="32" customFormat="false" ht="15" hidden="false" customHeight="true" outlineLevel="0" collapsed="false">
      <c r="A32" s="30" t="s">
        <v>569</v>
      </c>
    </row>
    <row r="33" customFormat="false" ht="15" hidden="false" customHeight="true" outlineLevel="0" collapsed="false">
      <c r="A33" s="30" t="s">
        <v>570</v>
      </c>
    </row>
    <row r="34" customFormat="false" ht="15" hidden="false" customHeight="true" outlineLevel="0" collapsed="false">
      <c r="A34" s="30" t="s">
        <v>571</v>
      </c>
    </row>
    <row r="35" customFormat="false" ht="15" hidden="false" customHeight="true" outlineLevel="0" collapsed="false">
      <c r="A35" s="30" t="s">
        <v>572</v>
      </c>
    </row>
    <row r="36" customFormat="false" ht="15" hidden="false" customHeight="true" outlineLevel="0" collapsed="false">
      <c r="A36" s="31" t="s">
        <v>573</v>
      </c>
    </row>
    <row r="37" customFormat="false" ht="15" hidden="false" customHeight="true" outlineLevel="0" collapsed="false">
      <c r="A37" s="31" t="s">
        <v>574</v>
      </c>
    </row>
    <row r="38" customFormat="false" ht="15" hidden="false" customHeight="true" outlineLevel="0" collapsed="false">
      <c r="A38" s="31" t="s">
        <v>575</v>
      </c>
    </row>
    <row r="40" customFormat="false" ht="15" hidden="false" customHeight="true" outlineLevel="0" collapsed="false">
      <c r="A40" s="26" t="s">
        <v>576</v>
      </c>
      <c r="B40" s="26" t="s">
        <v>577</v>
      </c>
      <c r="C40" s="26" t="s">
        <v>578</v>
      </c>
    </row>
    <row r="41" customFormat="false" ht="15" hidden="false" customHeight="true" outlineLevel="0" collapsed="false">
      <c r="A41" s="32" t="s">
        <v>579</v>
      </c>
      <c r="B41" s="33" t="s">
        <v>580</v>
      </c>
      <c r="C41" s="33" t="s">
        <v>581</v>
      </c>
    </row>
    <row r="42" customFormat="false" ht="15" hidden="false" customHeight="true" outlineLevel="0" collapsed="false">
      <c r="A42" s="32" t="s">
        <v>582</v>
      </c>
      <c r="B42" s="33" t="s">
        <v>583</v>
      </c>
      <c r="C42" s="33" t="s">
        <v>584</v>
      </c>
    </row>
    <row r="43" customFormat="false" ht="15" hidden="false" customHeight="true" outlineLevel="0" collapsed="false">
      <c r="A43" s="32" t="s">
        <v>585</v>
      </c>
      <c r="B43" s="33" t="s">
        <v>586</v>
      </c>
      <c r="C43" s="33" t="s">
        <v>587</v>
      </c>
    </row>
    <row r="44" customFormat="false" ht="15" hidden="false" customHeight="true" outlineLevel="0" collapsed="false">
      <c r="A44" s="32" t="s">
        <v>588</v>
      </c>
      <c r="B44" s="33" t="s">
        <v>589</v>
      </c>
      <c r="C44" s="33" t="s">
        <v>590</v>
      </c>
    </row>
    <row r="45" customFormat="false" ht="15" hidden="false" customHeight="true" outlineLevel="0" collapsed="false">
      <c r="A45" s="32" t="s">
        <v>591</v>
      </c>
      <c r="B45" s="33" t="s">
        <v>592</v>
      </c>
      <c r="C45" s="33" t="s">
        <v>593</v>
      </c>
    </row>
    <row r="46" customFormat="false" ht="15" hidden="false" customHeight="true" outlineLevel="0" collapsed="false">
      <c r="A46" s="32" t="s">
        <v>594</v>
      </c>
      <c r="B46" s="33" t="s">
        <v>592</v>
      </c>
      <c r="C46" s="33" t="s">
        <v>595</v>
      </c>
    </row>
    <row r="47" customFormat="false" ht="15" hidden="false" customHeight="true" outlineLevel="0" collapsed="false">
      <c r="A47" s="32" t="s">
        <v>596</v>
      </c>
      <c r="B47" s="33" t="s">
        <v>597</v>
      </c>
      <c r="C47" s="33" t="s">
        <v>598</v>
      </c>
    </row>
    <row r="48" customFormat="false" ht="15" hidden="false" customHeight="true" outlineLevel="0" collapsed="false">
      <c r="A48" s="32" t="s">
        <v>599</v>
      </c>
      <c r="B48" s="33" t="s">
        <v>600</v>
      </c>
      <c r="C48" s="33" t="s">
        <v>601</v>
      </c>
    </row>
    <row r="50" customFormat="false" ht="15" hidden="false" customHeight="true" outlineLevel="0" collapsed="false">
      <c r="A50" s="31" t="s">
        <v>602</v>
      </c>
    </row>
    <row r="51" customFormat="false" ht="15" hidden="false" customHeight="true" outlineLevel="0" collapsed="false">
      <c r="A51" s="31" t="s">
        <v>603</v>
      </c>
    </row>
    <row r="52" customFormat="false" ht="15" hidden="false" customHeight="true" outlineLevel="0" collapsed="false">
      <c r="A52" s="30" t="s">
        <v>604</v>
      </c>
    </row>
    <row r="53" customFormat="false" ht="15" hidden="false" customHeight="true" outlineLevel="0" collapsed="false">
      <c r="A53" s="30" t="s">
        <v>605</v>
      </c>
    </row>
    <row r="55" customFormat="false" ht="15" hidden="false" customHeight="true" outlineLevel="0" collapsed="false">
      <c r="A55" s="19" t="s">
        <v>606</v>
      </c>
      <c r="B55" s="20"/>
      <c r="C55" s="20"/>
      <c r="D55" s="20"/>
      <c r="E55" s="20"/>
    </row>
    <row r="56" customFormat="false" ht="15" hidden="false" customHeight="true" outlineLevel="0" collapsed="false">
      <c r="A56" s="30" t="s">
        <v>607</v>
      </c>
    </row>
    <row r="57" customFormat="false" ht="15" hidden="false" customHeight="true" outlineLevel="0" collapsed="false">
      <c r="A57" s="26" t="s">
        <v>554</v>
      </c>
      <c r="B57" s="26" t="s">
        <v>608</v>
      </c>
      <c r="C57" s="26" t="s">
        <v>609</v>
      </c>
      <c r="D57" s="26" t="s">
        <v>610</v>
      </c>
      <c r="E57" s="26" t="s">
        <v>611</v>
      </c>
    </row>
    <row r="58" customFormat="false" ht="15" hidden="false" customHeight="true" outlineLevel="0" collapsed="false">
      <c r="A58" s="32" t="s">
        <v>612</v>
      </c>
      <c r="B58" s="34"/>
      <c r="C58" s="35"/>
      <c r="D58" s="35"/>
      <c r="E58" s="35" t="n">
        <f aca="false">C58+D58</f>
        <v>0</v>
      </c>
    </row>
    <row r="59" customFormat="false" ht="15" hidden="false" customHeight="true" outlineLevel="0" collapsed="false">
      <c r="A59" s="32" t="s">
        <v>613</v>
      </c>
      <c r="B59" s="34"/>
      <c r="C59" s="35"/>
      <c r="D59" s="35"/>
      <c r="E59" s="35" t="n">
        <f aca="false">C59+D59</f>
        <v>0</v>
      </c>
    </row>
    <row r="60" customFormat="false" ht="15" hidden="false" customHeight="true" outlineLevel="0" collapsed="false">
      <c r="A60" s="32" t="s">
        <v>614</v>
      </c>
      <c r="B60" s="34"/>
      <c r="C60" s="35"/>
      <c r="D60" s="35"/>
      <c r="E60" s="35" t="n">
        <f aca="false">C60+D60</f>
        <v>0</v>
      </c>
    </row>
    <row r="62" customFormat="false" ht="15" hidden="false" customHeight="true" outlineLevel="0" collapsed="false">
      <c r="A62" s="30" t="s">
        <v>615</v>
      </c>
    </row>
    <row r="63" customFormat="false" ht="15" hidden="false" customHeight="true" outlineLevel="0" collapsed="false">
      <c r="A63" s="30" t="s">
        <v>616</v>
      </c>
    </row>
    <row r="65" customFormat="false" ht="15" hidden="false" customHeight="true" outlineLevel="0" collapsed="false">
      <c r="A65" s="19" t="s">
        <v>617</v>
      </c>
      <c r="B65" s="20"/>
      <c r="C65" s="20"/>
      <c r="D65" s="20"/>
      <c r="E65" s="20"/>
    </row>
    <row r="66" customFormat="false" ht="15" hidden="false" customHeight="true" outlineLevel="0" collapsed="false">
      <c r="A66" s="30" t="s">
        <v>618</v>
      </c>
    </row>
    <row r="67" customFormat="false" ht="15" hidden="false" customHeight="true" outlineLevel="0" collapsed="false">
      <c r="A67" s="26" t="s">
        <v>554</v>
      </c>
      <c r="B67" s="26" t="s">
        <v>619</v>
      </c>
      <c r="C67" s="26" t="s">
        <v>620</v>
      </c>
      <c r="D67" s="26" t="s">
        <v>621</v>
      </c>
      <c r="E67" s="26" t="s">
        <v>622</v>
      </c>
      <c r="F67" s="26" t="s">
        <v>623</v>
      </c>
    </row>
    <row r="68" customFormat="false" ht="15" hidden="false" customHeight="true" outlineLevel="0" collapsed="false">
      <c r="A68" s="32" t="s">
        <v>624</v>
      </c>
      <c r="B68" s="35"/>
      <c r="C68" s="35"/>
      <c r="D68" s="35"/>
      <c r="E68" s="36" t="s">
        <v>625</v>
      </c>
      <c r="F68" s="35" t="n">
        <f aca="false">B68+C68+D68</f>
        <v>0</v>
      </c>
    </row>
    <row r="69" customFormat="false" ht="15" hidden="false" customHeight="true" outlineLevel="0" collapsed="false">
      <c r="A69" s="32" t="s">
        <v>626</v>
      </c>
      <c r="B69" s="35"/>
      <c r="C69" s="35"/>
      <c r="D69" s="35"/>
      <c r="E69" s="36" t="s">
        <v>625</v>
      </c>
      <c r="F69" s="35" t="n">
        <f aca="false">B69+C69+D69</f>
        <v>0</v>
      </c>
    </row>
    <row r="70" customFormat="false" ht="15" hidden="false" customHeight="true" outlineLevel="0" collapsed="false">
      <c r="A70" s="32" t="s">
        <v>627</v>
      </c>
      <c r="B70" s="35"/>
      <c r="C70" s="35"/>
      <c r="D70" s="35"/>
      <c r="E70" s="36" t="s">
        <v>625</v>
      </c>
      <c r="F70" s="35" t="n">
        <f aca="false">B70+C70+D70</f>
        <v>0</v>
      </c>
    </row>
    <row r="72" customFormat="false" ht="15" hidden="false" customHeight="true" outlineLevel="0" collapsed="false">
      <c r="A72" s="31" t="s">
        <v>628</v>
      </c>
    </row>
    <row r="73" customFormat="false" ht="15" hidden="false" customHeight="true" outlineLevel="0" collapsed="false">
      <c r="A73" s="31" t="s">
        <v>629</v>
      </c>
    </row>
    <row r="75" customFormat="false" ht="15" hidden="false" customHeight="true" outlineLevel="0" collapsed="false">
      <c r="A75" s="19" t="s">
        <v>630</v>
      </c>
      <c r="B75" s="20"/>
      <c r="C75" s="20"/>
      <c r="D75" s="20"/>
      <c r="E75" s="20"/>
    </row>
    <row r="76" customFormat="false" ht="15" hidden="false" customHeight="true" outlineLevel="0" collapsed="false">
      <c r="A76" s="26" t="s">
        <v>631</v>
      </c>
      <c r="B76" s="26" t="s">
        <v>632</v>
      </c>
      <c r="C76" s="26" t="s">
        <v>633</v>
      </c>
    </row>
    <row r="77" customFormat="false" ht="15" hidden="false" customHeight="true" outlineLevel="0" collapsed="false">
      <c r="A77" s="32" t="s">
        <v>634</v>
      </c>
      <c r="B77" s="35" t="n">
        <f aca="false">DER_Owner_Economics!C205</f>
        <v>-494.374722541907</v>
      </c>
      <c r="C77" s="37" t="n">
        <f aca="false">DER_Owner_Economics!C206</f>
        <v>13.6167008485564</v>
      </c>
    </row>
    <row r="78" customFormat="false" ht="15" hidden="false" customHeight="true" outlineLevel="0" collapsed="false">
      <c r="A78" s="32" t="s">
        <v>635</v>
      </c>
      <c r="B78" s="35" t="n">
        <f aca="false">DER_Owner_Economics!C211</f>
        <v>-1071.58114223087</v>
      </c>
      <c r="C78" s="37" t="n">
        <f aca="false">DER_Owner_Economics!C212</f>
        <v>16.9486375137057</v>
      </c>
    </row>
    <row r="80" customFormat="false" ht="15" hidden="false" customHeight="true" outlineLevel="0" collapsed="false">
      <c r="A80" s="38" t="s">
        <v>636</v>
      </c>
    </row>
    <row r="81" customFormat="false" ht="15" hidden="false" customHeight="true" outlineLevel="0" collapsed="false">
      <c r="A81" s="26" t="s">
        <v>631</v>
      </c>
      <c r="B81" s="26" t="s">
        <v>637</v>
      </c>
      <c r="C81" s="26" t="s">
        <v>638</v>
      </c>
    </row>
    <row r="82" customFormat="false" ht="15" hidden="false" customHeight="true" outlineLevel="0" collapsed="false">
      <c r="A82" s="32" t="s">
        <v>639</v>
      </c>
      <c r="B82" s="35" t="n">
        <f aca="false">DER_Owner_Economics!C239</f>
        <v>-261.349143609462</v>
      </c>
      <c r="C82" s="39" t="n">
        <f aca="false">DER_Owner_Economics!C240</f>
        <v>233.025578932445</v>
      </c>
    </row>
    <row r="83" customFormat="false" ht="15" hidden="false" customHeight="true" outlineLevel="0" collapsed="false">
      <c r="A83" s="32" t="s">
        <v>640</v>
      </c>
      <c r="B83" s="35" t="n">
        <f aca="false">DER_Owner_Economics!C243</f>
        <v>-848.956745609347</v>
      </c>
      <c r="C83" s="39" t="n">
        <f aca="false">DER_Owner_Economics!C244</f>
        <v>222.62439662152</v>
      </c>
    </row>
    <row r="84" customFormat="false" ht="15" hidden="false" customHeight="true" outlineLevel="0" collapsed="false">
      <c r="A84" s="30" t="s">
        <v>641</v>
      </c>
    </row>
    <row r="85" customFormat="false" ht="15" hidden="false" customHeight="true" outlineLevel="0" collapsed="false">
      <c r="A85" s="30" t="s">
        <v>642</v>
      </c>
    </row>
    <row r="86" customFormat="false" ht="15" hidden="false" customHeight="true" outlineLevel="0" collapsed="false">
      <c r="A86" s="31" t="s">
        <v>643</v>
      </c>
    </row>
    <row r="87" customFormat="false" ht="15" hidden="false" customHeight="true" outlineLevel="0" collapsed="false">
      <c r="A87" s="31" t="s">
        <v>644</v>
      </c>
    </row>
    <row r="88" customFormat="false" ht="15" hidden="false" customHeight="true" outlineLevel="0" collapsed="false">
      <c r="A88" s="31" t="s">
        <v>645</v>
      </c>
    </row>
    <row r="89" customFormat="false" ht="15" hidden="false" customHeight="true" outlineLevel="0" collapsed="false">
      <c r="A89" s="31" t="s">
        <v>646</v>
      </c>
    </row>
    <row r="90" customFormat="false" ht="15" hidden="false" customHeight="true" outlineLevel="0" collapsed="false">
      <c r="A90" s="31" t="s">
        <v>647</v>
      </c>
    </row>
    <row r="92" customFormat="false" ht="15" hidden="false" customHeight="true" outlineLevel="0" collapsed="false">
      <c r="A92" s="19" t="s">
        <v>648</v>
      </c>
      <c r="B92" s="20"/>
      <c r="C92" s="20"/>
      <c r="D92" s="20"/>
      <c r="E92" s="20"/>
    </row>
    <row r="93" customFormat="false" ht="15" hidden="false" customHeight="true" outlineLevel="0" collapsed="false">
      <c r="A93" s="30" t="s">
        <v>649</v>
      </c>
    </row>
    <row r="94" customFormat="false" ht="15" hidden="false" customHeight="true" outlineLevel="0" collapsed="false">
      <c r="A94" s="30" t="s">
        <v>650</v>
      </c>
    </row>
    <row r="95" customFormat="false" ht="15" hidden="false" customHeight="true" outlineLevel="0" collapsed="false">
      <c r="A95" s="30" t="s">
        <v>651</v>
      </c>
    </row>
    <row r="96" customFormat="false" ht="15" hidden="false" customHeight="true" outlineLevel="0" collapsed="false">
      <c r="A96" s="30" t="s">
        <v>652</v>
      </c>
    </row>
    <row r="97" customFormat="false" ht="15" hidden="false" customHeight="true" outlineLevel="0" collapsed="false">
      <c r="A97" s="30" t="s">
        <v>653</v>
      </c>
    </row>
    <row r="98" customFormat="false" ht="15" hidden="false" customHeight="true" outlineLevel="0" collapsed="false">
      <c r="A98" s="30" t="s">
        <v>654</v>
      </c>
    </row>
    <row r="99" customFormat="false" ht="15" hidden="false" customHeight="true" outlineLevel="0" collapsed="false">
      <c r="A99" s="30" t="s">
        <v>655</v>
      </c>
    </row>
    <row r="100" customFormat="false" ht="15" hidden="false" customHeight="true" outlineLevel="0" collapsed="false">
      <c r="A100" s="30" t="s">
        <v>656</v>
      </c>
    </row>
    <row r="101" customFormat="false" ht="15" hidden="false" customHeight="true" outlineLevel="0" collapsed="false">
      <c r="A101" s="30" t="s">
        <v>657</v>
      </c>
    </row>
    <row r="102" customFormat="false" ht="15" hidden="false" customHeight="true" outlineLevel="0" collapsed="false">
      <c r="A102" s="30" t="s">
        <v>658</v>
      </c>
    </row>
    <row r="103" customFormat="false" ht="15" hidden="false" customHeight="true" outlineLevel="0" collapsed="false">
      <c r="A103" s="30" t="s">
        <v>659</v>
      </c>
    </row>
    <row r="104" customFormat="false" ht="15" hidden="false" customHeight="true" outlineLevel="0" collapsed="false">
      <c r="A104" s="30" t="s">
        <v>660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2"/>
    <col collapsed="false" customWidth="true" hidden="false" outlineLevel="0" max="2" min="2" style="1" width="32"/>
    <col collapsed="false" customWidth="true" hidden="false" outlineLevel="0" max="27" min="3" style="1" width="10.51"/>
  </cols>
  <sheetData>
    <row r="1" customFormat="false" ht="19.5" hidden="false" customHeight="true" outlineLevel="0" collapsed="false">
      <c r="A1" s="2" t="s">
        <v>661</v>
      </c>
    </row>
    <row r="3" customFormat="false" ht="15.75" hidden="false" customHeight="true" outlineLevel="0" collapsed="false">
      <c r="A3" s="26" t="s">
        <v>662</v>
      </c>
      <c r="B3" s="26" t="s">
        <v>663</v>
      </c>
      <c r="C3" s="40" t="n">
        <v>2026</v>
      </c>
      <c r="D3" s="40" t="n">
        <v>2027</v>
      </c>
      <c r="E3" s="40" t="n">
        <v>2028</v>
      </c>
      <c r="F3" s="40" t="n">
        <v>2029</v>
      </c>
      <c r="G3" s="40" t="n">
        <v>2030</v>
      </c>
      <c r="H3" s="40" t="n">
        <v>2031</v>
      </c>
      <c r="I3" s="40" t="n">
        <v>2032</v>
      </c>
      <c r="J3" s="40" t="n">
        <v>2033</v>
      </c>
      <c r="K3" s="40" t="n">
        <v>2034</v>
      </c>
      <c r="L3" s="40" t="n">
        <v>2035</v>
      </c>
      <c r="M3" s="40" t="n">
        <v>2036</v>
      </c>
      <c r="N3" s="40" t="n">
        <v>2037</v>
      </c>
      <c r="O3" s="40" t="n">
        <v>2038</v>
      </c>
      <c r="P3" s="40" t="n">
        <v>2039</v>
      </c>
      <c r="Q3" s="40" t="n">
        <v>2040</v>
      </c>
      <c r="R3" s="40" t="n">
        <v>2041</v>
      </c>
      <c r="S3" s="40" t="n">
        <v>2042</v>
      </c>
      <c r="T3" s="40" t="n">
        <v>2043</v>
      </c>
      <c r="U3" s="40" t="n">
        <v>2044</v>
      </c>
      <c r="V3" s="40" t="n">
        <v>2045</v>
      </c>
      <c r="W3" s="40" t="n">
        <v>2046</v>
      </c>
      <c r="X3" s="40" t="n">
        <v>2047</v>
      </c>
      <c r="Y3" s="40" t="n">
        <v>2048</v>
      </c>
      <c r="Z3" s="40" t="n">
        <v>2049</v>
      </c>
      <c r="AA3" s="40" t="n">
        <v>2050</v>
      </c>
    </row>
    <row r="5" customFormat="false" ht="15" hidden="false" customHeight="true" outlineLevel="0" collapsed="false">
      <c r="A5" s="19" t="s">
        <v>664</v>
      </c>
      <c r="B5" s="20"/>
      <c r="C5" s="20"/>
      <c r="D5" s="20"/>
      <c r="E5" s="20"/>
      <c r="F5" s="20"/>
      <c r="G5" s="20"/>
      <c r="H5" s="20"/>
      <c r="I5" s="20"/>
      <c r="J5" s="20"/>
      <c r="K5" s="20"/>
      <c r="L5" s="20"/>
      <c r="M5" s="20"/>
      <c r="N5" s="20"/>
      <c r="O5" s="20"/>
      <c r="P5" s="20"/>
      <c r="Q5" s="20"/>
      <c r="R5" s="20"/>
      <c r="S5" s="20"/>
      <c r="T5" s="20"/>
      <c r="U5" s="20"/>
      <c r="V5" s="20"/>
      <c r="W5" s="20"/>
      <c r="X5" s="20"/>
      <c r="Y5" s="20"/>
      <c r="Z5" s="20"/>
      <c r="AA5" s="20"/>
    </row>
    <row r="6" customFormat="false" ht="15" hidden="false" customHeight="true" outlineLevel="0" collapsed="false">
      <c r="A6" s="41" t="s">
        <v>665</v>
      </c>
      <c r="B6" s="42" t="n">
        <v>110000</v>
      </c>
    </row>
    <row r="7" customFormat="false" ht="15" hidden="false" customHeight="true" outlineLevel="0" collapsed="false">
      <c r="A7" s="41" t="s">
        <v>666</v>
      </c>
      <c r="B7" s="30" t="s">
        <v>667</v>
      </c>
      <c r="C7" s="43" t="n">
        <v>0.055</v>
      </c>
      <c r="D7" s="43" t="n">
        <v>0.055</v>
      </c>
      <c r="E7" s="43" t="n">
        <v>0.055</v>
      </c>
      <c r="F7" s="43" t="n">
        <v>0.055</v>
      </c>
      <c r="G7" s="43" t="n">
        <v>0.055</v>
      </c>
      <c r="H7" s="43" t="n">
        <v>0.055</v>
      </c>
      <c r="I7" s="43" t="n">
        <v>0.055</v>
      </c>
      <c r="J7" s="43" t="n">
        <v>0.055</v>
      </c>
      <c r="K7" s="43" t="n">
        <v>0.055</v>
      </c>
      <c r="L7" s="43" t="n">
        <v>0.055</v>
      </c>
      <c r="M7" s="43" t="n">
        <v>0.0396</v>
      </c>
      <c r="N7" s="43" t="n">
        <v>0.0396</v>
      </c>
      <c r="O7" s="43" t="n">
        <v>0.0396</v>
      </c>
      <c r="P7" s="43" t="n">
        <v>0.0396</v>
      </c>
      <c r="Q7" s="43" t="n">
        <v>0.025</v>
      </c>
      <c r="R7" s="43" t="n">
        <v>0.025</v>
      </c>
      <c r="S7" s="43" t="n">
        <v>0.025</v>
      </c>
      <c r="T7" s="43" t="n">
        <v>0.025</v>
      </c>
      <c r="U7" s="43" t="n">
        <v>0.025</v>
      </c>
      <c r="V7" s="43" t="n">
        <v>0.025</v>
      </c>
      <c r="W7" s="43" t="n">
        <v>0.025</v>
      </c>
      <c r="X7" s="43" t="n">
        <v>0.025</v>
      </c>
      <c r="Y7" s="43" t="n">
        <v>0.025</v>
      </c>
      <c r="Z7" s="43" t="n">
        <v>0.025</v>
      </c>
      <c r="AA7" s="43" t="n">
        <v>0.025</v>
      </c>
    </row>
    <row r="8" customFormat="false" ht="15" hidden="false" customHeight="true" outlineLevel="0" collapsed="false">
      <c r="A8" s="4" t="s">
        <v>668</v>
      </c>
      <c r="C8" s="44" t="n">
        <f aca="false">$B$6*(1+C7)</f>
        <v>116050</v>
      </c>
      <c r="D8" s="44" t="n">
        <f aca="false">C8*(1+D7)</f>
        <v>122432.75</v>
      </c>
      <c r="E8" s="44" t="n">
        <f aca="false">D8*(1+E7)</f>
        <v>129166.55125</v>
      </c>
      <c r="F8" s="44" t="n">
        <f aca="false">E8*(1+F7)</f>
        <v>136270.71156875</v>
      </c>
      <c r="G8" s="44" t="n">
        <f aca="false">F8*(1+G7)</f>
        <v>143765.600705031</v>
      </c>
      <c r="H8" s="44" t="n">
        <f aca="false">G8*(1+H7)</f>
        <v>151672.708743808</v>
      </c>
      <c r="I8" s="44" t="n">
        <f aca="false">H8*(1+I7)</f>
        <v>160014.707724717</v>
      </c>
      <c r="J8" s="44" t="n">
        <f aca="false">I8*(1+J7)</f>
        <v>168815.516649577</v>
      </c>
      <c r="K8" s="44" t="n">
        <f aca="false">J8*(1+K7)</f>
        <v>178100.370065304</v>
      </c>
      <c r="L8" s="44" t="n">
        <f aca="false">K8*(1+L7)</f>
        <v>187895.890418895</v>
      </c>
      <c r="M8" s="44" t="n">
        <f aca="false">L8*(1+M7)</f>
        <v>195336.567679483</v>
      </c>
      <c r="N8" s="44" t="n">
        <f aca="false">M8*(1+N7)</f>
        <v>203071.895759591</v>
      </c>
      <c r="O8" s="44" t="n">
        <f aca="false">N8*(1+O7)</f>
        <v>211113.542831671</v>
      </c>
      <c r="P8" s="44" t="n">
        <f aca="false">O8*(1+P7)</f>
        <v>219473.639127805</v>
      </c>
      <c r="Q8" s="44" t="n">
        <f aca="false">P8*(1+Q7)</f>
        <v>224960.480106</v>
      </c>
      <c r="R8" s="44" t="n">
        <f aca="false">Q8*(1+R7)</f>
        <v>230584.49210865</v>
      </c>
      <c r="S8" s="44" t="n">
        <f aca="false">R8*(1+S7)</f>
        <v>236349.104411366</v>
      </c>
      <c r="T8" s="44" t="n">
        <f aca="false">S8*(1+T7)</f>
        <v>242257.832021651</v>
      </c>
      <c r="U8" s="44" t="n">
        <f aca="false">T8*(1+U7)</f>
        <v>248314.277822192</v>
      </c>
      <c r="V8" s="44" t="n">
        <f aca="false">U8*(1+V7)</f>
        <v>254522.134767747</v>
      </c>
      <c r="W8" s="44" t="n">
        <f aca="false">V8*(1+W7)</f>
        <v>260885.18813694</v>
      </c>
      <c r="X8" s="44" t="n">
        <f aca="false">W8*(1+X7)</f>
        <v>267407.317840364</v>
      </c>
      <c r="Y8" s="44" t="n">
        <f aca="false">X8*(1+Y7)</f>
        <v>274092.500786373</v>
      </c>
      <c r="Z8" s="44" t="n">
        <f aca="false">Y8*(1+Z7)</f>
        <v>280944.813306032</v>
      </c>
      <c r="AA8" s="44" t="n">
        <f aca="false">Z8*(1+AA7)</f>
        <v>287968.433638683</v>
      </c>
    </row>
    <row r="10" customFormat="false" ht="15" hidden="false" customHeight="true" outlineLevel="0" collapsed="false">
      <c r="A10" s="19" t="s">
        <v>669</v>
      </c>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row>
    <row r="11" customFormat="false" ht="15" hidden="false" customHeight="true" outlineLevel="0" collapsed="false">
      <c r="A11" s="41" t="s">
        <v>670</v>
      </c>
      <c r="B11" s="42" t="n">
        <v>23905</v>
      </c>
    </row>
    <row r="12" customFormat="false" ht="15" hidden="false" customHeight="true" outlineLevel="0" collapsed="false">
      <c r="A12" s="41" t="s">
        <v>671</v>
      </c>
      <c r="C12" s="44" t="n">
        <f aca="false">$B$11*(1+C7)</f>
        <v>25219.775</v>
      </c>
      <c r="D12" s="44" t="n">
        <f aca="false">C12*(1+D7)</f>
        <v>26606.862625</v>
      </c>
      <c r="E12" s="44" t="n">
        <f aca="false">D12*(1+E7)</f>
        <v>28070.240069375</v>
      </c>
      <c r="F12" s="44" t="n">
        <f aca="false">E12*(1+F7)</f>
        <v>29614.1032731906</v>
      </c>
      <c r="G12" s="44" t="n">
        <f aca="false">F12*(1+G7)</f>
        <v>31242.8789532161</v>
      </c>
      <c r="H12" s="44" t="n">
        <f aca="false">G12*(1+H7)</f>
        <v>32961.237295643</v>
      </c>
      <c r="I12" s="44" t="n">
        <f aca="false">H12*(1+I7)</f>
        <v>34774.1053469034</v>
      </c>
      <c r="J12" s="44" t="n">
        <f aca="false">I12*(1+J7)</f>
        <v>36686.681140983</v>
      </c>
      <c r="K12" s="44" t="n">
        <f aca="false">J12*(1+K7)</f>
        <v>38704.4486037371</v>
      </c>
      <c r="L12" s="44" t="n">
        <f aca="false">K12*(1+L7)</f>
        <v>40833.1932769426</v>
      </c>
      <c r="M12" s="44" t="n">
        <f aca="false">L12*(1+M7)</f>
        <v>42450.1877307096</v>
      </c>
      <c r="N12" s="44" t="n">
        <f aca="false">M12*(1+N7)</f>
        <v>44131.2151648457</v>
      </c>
      <c r="O12" s="44" t="n">
        <f aca="false">N12*(1+O7)</f>
        <v>45878.8112853736</v>
      </c>
      <c r="P12" s="44" t="n">
        <f aca="false">O12*(1+P7)</f>
        <v>47695.6122122744</v>
      </c>
      <c r="Q12" s="44" t="n">
        <f aca="false">P12*(1+Q7)</f>
        <v>48888.0025175812</v>
      </c>
      <c r="R12" s="44" t="n">
        <f aca="false">Q12*(1+R7)</f>
        <v>50110.2025805207</v>
      </c>
      <c r="S12" s="44" t="n">
        <f aca="false">R12*(1+S7)</f>
        <v>51362.9576450338</v>
      </c>
      <c r="T12" s="44" t="n">
        <f aca="false">S12*(1+T7)</f>
        <v>52647.0315861596</v>
      </c>
      <c r="U12" s="44" t="n">
        <f aca="false">T12*(1+U7)</f>
        <v>53963.2073758136</v>
      </c>
      <c r="V12" s="44" t="n">
        <f aca="false">U12*(1+V7)</f>
        <v>55312.2875602089</v>
      </c>
      <c r="W12" s="44" t="n">
        <f aca="false">V12*(1+W7)</f>
        <v>56695.0947492141</v>
      </c>
      <c r="X12" s="44" t="n">
        <f aca="false">W12*(1+X7)</f>
        <v>58112.4721179445</v>
      </c>
      <c r="Y12" s="44" t="n">
        <f aca="false">X12*(1+Y7)</f>
        <v>59565.2839208931</v>
      </c>
      <c r="Z12" s="44" t="n">
        <f aca="false">Y12*(1+Z7)</f>
        <v>61054.4160189154</v>
      </c>
      <c r="AA12" s="44" t="n">
        <f aca="false">Z12*(1+AA7)</f>
        <v>62580.7764193883</v>
      </c>
    </row>
    <row r="13" customFormat="false" ht="15" hidden="false" customHeight="true" outlineLevel="0" collapsed="false">
      <c r="A13" s="41" t="s">
        <v>672</v>
      </c>
      <c r="B13" s="43" t="n">
        <v>0.06</v>
      </c>
      <c r="C13" s="45" t="n">
        <f aca="false">$B$13</f>
        <v>0.06</v>
      </c>
      <c r="D13" s="45" t="n">
        <f aca="false">$B$13</f>
        <v>0.06</v>
      </c>
      <c r="E13" s="45" t="n">
        <f aca="false">$B$13</f>
        <v>0.06</v>
      </c>
      <c r="F13" s="45" t="n">
        <f aca="false">$B$13</f>
        <v>0.06</v>
      </c>
      <c r="G13" s="45" t="n">
        <f aca="false">$B$13</f>
        <v>0.06</v>
      </c>
      <c r="H13" s="45" t="n">
        <f aca="false">$B$13</f>
        <v>0.06</v>
      </c>
      <c r="I13" s="45" t="n">
        <f aca="false">$B$13</f>
        <v>0.06</v>
      </c>
      <c r="J13" s="45" t="n">
        <f aca="false">$B$13</f>
        <v>0.06</v>
      </c>
      <c r="K13" s="45" t="n">
        <f aca="false">$B$13</f>
        <v>0.06</v>
      </c>
      <c r="L13" s="45" t="n">
        <f aca="false">$B$13</f>
        <v>0.06</v>
      </c>
      <c r="M13" s="45" t="n">
        <f aca="false">$B$13</f>
        <v>0.06</v>
      </c>
      <c r="N13" s="45" t="n">
        <f aca="false">$B$13</f>
        <v>0.06</v>
      </c>
      <c r="O13" s="45" t="n">
        <f aca="false">$B$13</f>
        <v>0.06</v>
      </c>
      <c r="P13" s="45" t="n">
        <f aca="false">$B$13</f>
        <v>0.06</v>
      </c>
      <c r="Q13" s="45" t="n">
        <f aca="false">$B$13</f>
        <v>0.06</v>
      </c>
      <c r="R13" s="45" t="n">
        <f aca="false">$B$13</f>
        <v>0.06</v>
      </c>
      <c r="S13" s="45" t="n">
        <f aca="false">$B$13</f>
        <v>0.06</v>
      </c>
      <c r="T13" s="45" t="n">
        <f aca="false">$B$13</f>
        <v>0.06</v>
      </c>
      <c r="U13" s="45" t="n">
        <f aca="false">$B$13</f>
        <v>0.06</v>
      </c>
      <c r="V13" s="45" t="n">
        <f aca="false">$B$13</f>
        <v>0.06</v>
      </c>
      <c r="W13" s="45" t="n">
        <f aca="false">$B$13</f>
        <v>0.06</v>
      </c>
      <c r="X13" s="45" t="n">
        <f aca="false">$B$13</f>
        <v>0.06</v>
      </c>
      <c r="Y13" s="45" t="n">
        <f aca="false">$B$13</f>
        <v>0.06</v>
      </c>
      <c r="Z13" s="45" t="n">
        <f aca="false">$B$13</f>
        <v>0.06</v>
      </c>
      <c r="AA13" s="45" t="n">
        <f aca="false">$B$13</f>
        <v>0.06</v>
      </c>
    </row>
    <row r="14" customFormat="false" ht="15" hidden="false" customHeight="true" outlineLevel="0" collapsed="false">
      <c r="A14" s="4" t="s">
        <v>673</v>
      </c>
      <c r="C14" s="44" t="n">
        <f aca="false">C12*C13</f>
        <v>1513.1865</v>
      </c>
      <c r="D14" s="44" t="n">
        <f aca="false">D12*D13</f>
        <v>1596.4117575</v>
      </c>
      <c r="E14" s="44" t="n">
        <f aca="false">E12*E13</f>
        <v>1684.2144041625</v>
      </c>
      <c r="F14" s="44" t="n">
        <f aca="false">F12*F13</f>
        <v>1776.84619639144</v>
      </c>
      <c r="G14" s="44" t="n">
        <f aca="false">G12*G13</f>
        <v>1874.57273719297</v>
      </c>
      <c r="H14" s="44" t="n">
        <f aca="false">H12*H13</f>
        <v>1977.67423773858</v>
      </c>
      <c r="I14" s="44" t="n">
        <f aca="false">I12*I13</f>
        <v>2086.4463208142</v>
      </c>
      <c r="J14" s="44" t="n">
        <f aca="false">J12*J13</f>
        <v>2201.20086845898</v>
      </c>
      <c r="K14" s="44" t="n">
        <f aca="false">K12*K13</f>
        <v>2322.26691622423</v>
      </c>
      <c r="L14" s="44" t="n">
        <f aca="false">L12*L13</f>
        <v>2449.99159661656</v>
      </c>
      <c r="M14" s="44" t="n">
        <f aca="false">M12*M13</f>
        <v>2547.01126384257</v>
      </c>
      <c r="N14" s="44" t="n">
        <f aca="false">N12*N13</f>
        <v>2647.87290989074</v>
      </c>
      <c r="O14" s="44" t="n">
        <f aca="false">O12*O13</f>
        <v>2752.72867712241</v>
      </c>
      <c r="P14" s="44" t="n">
        <f aca="false">P12*P13</f>
        <v>2861.73673273646</v>
      </c>
      <c r="Q14" s="44" t="n">
        <f aca="false">Q12*Q13</f>
        <v>2933.28015105487</v>
      </c>
      <c r="R14" s="44" t="n">
        <f aca="false">R12*R13</f>
        <v>3006.61215483124</v>
      </c>
      <c r="S14" s="44" t="n">
        <f aca="false">S12*S13</f>
        <v>3081.77745870203</v>
      </c>
      <c r="T14" s="44" t="n">
        <f aca="false">T12*T13</f>
        <v>3158.82189516958</v>
      </c>
      <c r="U14" s="44" t="n">
        <f aca="false">U12*U13</f>
        <v>3237.79244254881</v>
      </c>
      <c r="V14" s="44" t="n">
        <f aca="false">V12*V13</f>
        <v>3318.73725361253</v>
      </c>
      <c r="W14" s="44" t="n">
        <f aca="false">W12*W13</f>
        <v>3401.70568495285</v>
      </c>
      <c r="X14" s="44" t="n">
        <f aca="false">X12*X13</f>
        <v>3486.74832707667</v>
      </c>
      <c r="Y14" s="44" t="n">
        <f aca="false">Y12*Y13</f>
        <v>3573.91703525359</v>
      </c>
      <c r="Z14" s="44" t="n">
        <f aca="false">Z12*Z13</f>
        <v>3663.26496113492</v>
      </c>
      <c r="AA14" s="44" t="n">
        <f aca="false">AA12*AA13</f>
        <v>3754.8465851633</v>
      </c>
    </row>
    <row r="16" customFormat="false" ht="15" hidden="false" customHeight="true" outlineLevel="0" collapsed="false">
      <c r="A16" s="19" t="s">
        <v>674</v>
      </c>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row>
    <row r="17" customFormat="false" ht="15" hidden="false" customHeight="true" outlineLevel="0" collapsed="false">
      <c r="A17" s="41" t="s">
        <v>77</v>
      </c>
      <c r="B17" s="42" t="n">
        <v>500</v>
      </c>
    </row>
    <row r="18" customFormat="false" ht="15" hidden="false" customHeight="true" outlineLevel="0" collapsed="false">
      <c r="A18" s="4" t="s">
        <v>675</v>
      </c>
      <c r="C18" s="44" t="n">
        <f aca="false">$B$17+(L14-$B$17)*0/9</f>
        <v>500</v>
      </c>
      <c r="D18" s="44" t="n">
        <f aca="false">$B$17+(L14-$B$17)*1/9</f>
        <v>716.665732957395</v>
      </c>
      <c r="E18" s="44" t="n">
        <f aca="false">$B$17+(L14-$B$17)*2/9</f>
        <v>933.331465914791</v>
      </c>
      <c r="F18" s="44" t="n">
        <f aca="false">$B$17+(L14-$B$17)*3/9</f>
        <v>1149.99719887219</v>
      </c>
      <c r="G18" s="44" t="n">
        <f aca="false">$B$17+(L14-$B$17)*4/9</f>
        <v>1366.66293182958</v>
      </c>
      <c r="H18" s="44" t="n">
        <f aca="false">$B$17+(L14-$B$17)*5/9</f>
        <v>1583.32866478698</v>
      </c>
      <c r="I18" s="44" t="n">
        <f aca="false">$B$17+(L14-$B$17)*6/9</f>
        <v>1799.99439774437</v>
      </c>
      <c r="J18" s="44" t="n">
        <f aca="false">$B$17+(L14-$B$17)*7/9</f>
        <v>2016.66013070177</v>
      </c>
      <c r="K18" s="44" t="n">
        <f aca="false">$B$17+(L14-$B$17)*8/9</f>
        <v>2233.32586365916</v>
      </c>
      <c r="L18" s="44" t="n">
        <f aca="false">$B$17+(L14-$B$17)*9/9</f>
        <v>2449.99159661656</v>
      </c>
      <c r="M18" s="44" t="n">
        <f aca="false">M14</f>
        <v>2547.01126384257</v>
      </c>
      <c r="N18" s="44" t="n">
        <f aca="false">N14</f>
        <v>2647.87290989074</v>
      </c>
      <c r="O18" s="44" t="n">
        <f aca="false">O14</f>
        <v>2752.72867712241</v>
      </c>
      <c r="P18" s="44" t="n">
        <f aca="false">P14</f>
        <v>2861.73673273646</v>
      </c>
      <c r="Q18" s="44" t="n">
        <f aca="false">Q14</f>
        <v>2933.28015105487</v>
      </c>
      <c r="R18" s="44" t="n">
        <f aca="false">R14</f>
        <v>3006.61215483124</v>
      </c>
      <c r="S18" s="44" t="n">
        <f aca="false">S14</f>
        <v>3081.77745870203</v>
      </c>
      <c r="T18" s="44" t="n">
        <f aca="false">T14</f>
        <v>3158.82189516958</v>
      </c>
      <c r="U18" s="44" t="n">
        <f aca="false">U14</f>
        <v>3237.79244254881</v>
      </c>
      <c r="V18" s="44" t="n">
        <f aca="false">V14</f>
        <v>3318.73725361253</v>
      </c>
      <c r="W18" s="44" t="n">
        <f aca="false">W14</f>
        <v>3401.70568495285</v>
      </c>
      <c r="X18" s="44" t="n">
        <f aca="false">X14</f>
        <v>3486.74832707667</v>
      </c>
      <c r="Y18" s="44" t="n">
        <f aca="false">Y14</f>
        <v>3573.91703525359</v>
      </c>
      <c r="Z18" s="44" t="n">
        <f aca="false">Z14</f>
        <v>3663.26496113492</v>
      </c>
      <c r="AA18" s="44" t="n">
        <f aca="false">AA14</f>
        <v>3754.8465851633</v>
      </c>
    </row>
    <row r="19" customFormat="false" ht="15" hidden="false" customHeight="true" outlineLevel="0" collapsed="false">
      <c r="A19" s="41" t="s">
        <v>676</v>
      </c>
      <c r="B19" s="43" t="n">
        <v>0.228</v>
      </c>
      <c r="C19" s="45" t="n">
        <f aca="false">$B$19</f>
        <v>0.228</v>
      </c>
      <c r="D19" s="45" t="n">
        <f aca="false">$B$19</f>
        <v>0.228</v>
      </c>
      <c r="E19" s="45" t="n">
        <f aca="false">$B$19</f>
        <v>0.228</v>
      </c>
      <c r="F19" s="45" t="n">
        <f aca="false">$B$19</f>
        <v>0.228</v>
      </c>
      <c r="G19" s="45" t="n">
        <f aca="false">$B$19</f>
        <v>0.228</v>
      </c>
      <c r="H19" s="45" t="n">
        <f aca="false">$B$19</f>
        <v>0.228</v>
      </c>
      <c r="I19" s="45" t="n">
        <f aca="false">$B$19</f>
        <v>0.228</v>
      </c>
      <c r="J19" s="45" t="n">
        <f aca="false">$B$19</f>
        <v>0.228</v>
      </c>
      <c r="K19" s="45" t="n">
        <f aca="false">$B$19</f>
        <v>0.228</v>
      </c>
      <c r="L19" s="45" t="n">
        <f aca="false">$B$19</f>
        <v>0.228</v>
      </c>
      <c r="M19" s="45" t="n">
        <f aca="false">$B$19</f>
        <v>0.228</v>
      </c>
      <c r="N19" s="45" t="n">
        <f aca="false">$B$19</f>
        <v>0.228</v>
      </c>
      <c r="O19" s="45" t="n">
        <f aca="false">$B$19</f>
        <v>0.228</v>
      </c>
      <c r="P19" s="45" t="n">
        <f aca="false">$B$19</f>
        <v>0.228</v>
      </c>
      <c r="Q19" s="45" t="n">
        <f aca="false">$B$19</f>
        <v>0.228</v>
      </c>
      <c r="R19" s="45" t="n">
        <f aca="false">$B$19</f>
        <v>0.228</v>
      </c>
      <c r="S19" s="45" t="n">
        <f aca="false">$B$19</f>
        <v>0.228</v>
      </c>
      <c r="T19" s="45" t="n">
        <f aca="false">$B$19</f>
        <v>0.228</v>
      </c>
      <c r="U19" s="45" t="n">
        <f aca="false">$B$19</f>
        <v>0.228</v>
      </c>
      <c r="V19" s="45" t="n">
        <f aca="false">$B$19</f>
        <v>0.228</v>
      </c>
      <c r="W19" s="45" t="n">
        <f aca="false">$B$19</f>
        <v>0.228</v>
      </c>
      <c r="X19" s="45" t="n">
        <f aca="false">$B$19</f>
        <v>0.228</v>
      </c>
      <c r="Y19" s="45" t="n">
        <f aca="false">$B$19</f>
        <v>0.228</v>
      </c>
      <c r="Z19" s="45" t="n">
        <f aca="false">$B$19</f>
        <v>0.228</v>
      </c>
      <c r="AA19" s="45" t="n">
        <f aca="false">$B$19</f>
        <v>0.228</v>
      </c>
    </row>
    <row r="20" customFormat="false" ht="15" hidden="false" customHeight="true" outlineLevel="0" collapsed="false">
      <c r="A20" s="4" t="s">
        <v>677</v>
      </c>
      <c r="C20" s="44" t="n">
        <f aca="false">C18*C19*8.76</f>
        <v>998.64</v>
      </c>
      <c r="D20" s="44" t="n">
        <f aca="false">D18*D19*8.76</f>
        <v>1431.38213512115</v>
      </c>
      <c r="E20" s="44" t="n">
        <f aca="false">E18*E19*8.76</f>
        <v>1864.12427024229</v>
      </c>
      <c r="F20" s="44" t="n">
        <f aca="false">F18*F19*8.76</f>
        <v>2296.86640536344</v>
      </c>
      <c r="G20" s="44" t="n">
        <f aca="false">G18*G19*8.76</f>
        <v>2729.60854048459</v>
      </c>
      <c r="H20" s="44" t="n">
        <f aca="false">H18*H19*8.76</f>
        <v>3162.35067560573</v>
      </c>
      <c r="I20" s="44" t="n">
        <f aca="false">I18*I19*8.76</f>
        <v>3595.09281072688</v>
      </c>
      <c r="J20" s="44" t="n">
        <f aca="false">J18*J19*8.76</f>
        <v>4027.83494584803</v>
      </c>
      <c r="K20" s="44" t="n">
        <f aca="false">K18*K19*8.76</f>
        <v>4460.57708096917</v>
      </c>
      <c r="L20" s="44" t="n">
        <f aca="false">L18*L19*8.76</f>
        <v>4893.31921609032</v>
      </c>
      <c r="M20" s="44" t="n">
        <f aca="false">M18*M19*8.76</f>
        <v>5087.0946570475</v>
      </c>
      <c r="N20" s="44" t="n">
        <f aca="false">N18*N19*8.76</f>
        <v>5288.54360546658</v>
      </c>
      <c r="O20" s="44" t="n">
        <f aca="false">O18*O19*8.76</f>
        <v>5497.96993224305</v>
      </c>
      <c r="P20" s="44" t="n">
        <f aca="false">P18*P19*8.76</f>
        <v>5715.68954155988</v>
      </c>
      <c r="Q20" s="44" t="n">
        <f aca="false">Q18*Q19*8.76</f>
        <v>5858.58178009888</v>
      </c>
      <c r="R20" s="44" t="n">
        <f aca="false">R18*R19*8.76</f>
        <v>6005.04632460135</v>
      </c>
      <c r="S20" s="44" t="n">
        <f aca="false">S18*S19*8.76</f>
        <v>6155.17248271638</v>
      </c>
      <c r="T20" s="44" t="n">
        <f aca="false">T18*T19*8.76</f>
        <v>6309.05179478429</v>
      </c>
      <c r="U20" s="44" t="n">
        <f aca="false">U18*U19*8.76</f>
        <v>6466.7780896539</v>
      </c>
      <c r="V20" s="44" t="n">
        <f aca="false">V18*V19*8.76</f>
        <v>6628.44754189524</v>
      </c>
      <c r="W20" s="44" t="n">
        <f aca="false">W18*W19*8.76</f>
        <v>6794.15873044262</v>
      </c>
      <c r="X20" s="44" t="n">
        <f aca="false">X18*X19*8.76</f>
        <v>6964.01269870369</v>
      </c>
      <c r="Y20" s="44" t="n">
        <f aca="false">Y18*Y19*8.76</f>
        <v>7138.11301617128</v>
      </c>
      <c r="Z20" s="44" t="n">
        <f aca="false">Z18*Z19*8.76</f>
        <v>7316.56584157556</v>
      </c>
      <c r="AA20" s="44" t="n">
        <f aca="false">AA18*AA19*8.76</f>
        <v>7499.47998761495</v>
      </c>
    </row>
    <row r="22" customFormat="false" ht="15" hidden="false" customHeight="true" outlineLevel="0" collapsed="false">
      <c r="A22" s="19" t="s">
        <v>678</v>
      </c>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row>
    <row r="23" customFormat="false" ht="15" hidden="false" customHeight="true" outlineLevel="0" collapsed="false">
      <c r="A23" s="4" t="s">
        <v>679</v>
      </c>
      <c r="C23" s="46" t="n">
        <f aca="false">C8-C20</f>
        <v>115051.36</v>
      </c>
      <c r="D23" s="46" t="n">
        <f aca="false">D8-D20</f>
        <v>121001.367864879</v>
      </c>
      <c r="E23" s="46" t="n">
        <f aca="false">E8-E20</f>
        <v>127302.426979758</v>
      </c>
      <c r="F23" s="46" t="n">
        <f aca="false">F8-F20</f>
        <v>133973.845163387</v>
      </c>
      <c r="G23" s="46" t="n">
        <f aca="false">G8-G20</f>
        <v>141035.992164547</v>
      </c>
      <c r="H23" s="46" t="n">
        <f aca="false">H8-H20</f>
        <v>148510.358068202</v>
      </c>
      <c r="I23" s="46" t="n">
        <f aca="false">I8-I20</f>
        <v>156419.614913991</v>
      </c>
      <c r="J23" s="46" t="n">
        <f aca="false">J8-J20</f>
        <v>164787.681703729</v>
      </c>
      <c r="K23" s="46" t="n">
        <f aca="false">K8-K20</f>
        <v>173639.792984334</v>
      </c>
      <c r="L23" s="46" t="n">
        <f aca="false">L8-L20</f>
        <v>183002.571202805</v>
      </c>
      <c r="M23" s="46" t="n">
        <f aca="false">M8-M20</f>
        <v>190249.473022436</v>
      </c>
      <c r="N23" s="46" t="n">
        <f aca="false">N8-N20</f>
        <v>197783.352154124</v>
      </c>
      <c r="O23" s="46" t="n">
        <f aca="false">O8-O20</f>
        <v>205615.572899428</v>
      </c>
      <c r="P23" s="46" t="n">
        <f aca="false">P8-P20</f>
        <v>213757.949586245</v>
      </c>
      <c r="Q23" s="46" t="n">
        <f aca="false">Q8-Q20</f>
        <v>219101.898325901</v>
      </c>
      <c r="R23" s="46" t="n">
        <f aca="false">R8-R20</f>
        <v>224579.445784049</v>
      </c>
      <c r="S23" s="46" t="n">
        <f aca="false">S8-S20</f>
        <v>230193.93192865</v>
      </c>
      <c r="T23" s="46" t="n">
        <f aca="false">T8-T20</f>
        <v>235948.780226866</v>
      </c>
      <c r="U23" s="46" t="n">
        <f aca="false">U8-U20</f>
        <v>241847.499732538</v>
      </c>
      <c r="V23" s="46" t="n">
        <f aca="false">V8-V20</f>
        <v>247893.687225851</v>
      </c>
      <c r="W23" s="46" t="n">
        <f aca="false">W8-W20</f>
        <v>254091.029406498</v>
      </c>
      <c r="X23" s="46" t="n">
        <f aca="false">X8-X20</f>
        <v>260443.30514166</v>
      </c>
      <c r="Y23" s="46" t="n">
        <f aca="false">Y8-Y20</f>
        <v>266954.387770202</v>
      </c>
      <c r="Z23" s="46" t="n">
        <f aca="false">Z8-Z20</f>
        <v>273628.247464457</v>
      </c>
      <c r="AA23" s="46" t="n">
        <f aca="false">AA8-AA20</f>
        <v>280468.953651068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7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8"/>
    <col collapsed="false" customWidth="true" hidden="false" outlineLevel="0" max="4" min="2" style="1" width="20"/>
    <col collapsed="false" customWidth="true" hidden="false" outlineLevel="0" max="5" min="5" style="1" width="46"/>
  </cols>
  <sheetData>
    <row r="1" customFormat="false" ht="19.5" hidden="false" customHeight="true" outlineLevel="0" collapsed="false">
      <c r="A1" s="2" t="s">
        <v>680</v>
      </c>
    </row>
    <row r="2" customFormat="false" ht="15" hidden="false" customHeight="true" outlineLevel="0" collapsed="false">
      <c r="A2" s="3" t="s">
        <v>681</v>
      </c>
    </row>
    <row r="4" customFormat="false" ht="15" hidden="false" customHeight="true" outlineLevel="0" collapsed="false">
      <c r="A4" s="19" t="s">
        <v>682</v>
      </c>
      <c r="B4" s="20"/>
      <c r="C4" s="20"/>
      <c r="D4" s="20"/>
      <c r="E4" s="20"/>
      <c r="F4" s="20"/>
      <c r="G4" s="20"/>
      <c r="H4" s="20"/>
      <c r="I4" s="20"/>
      <c r="J4" s="20"/>
      <c r="K4" s="20"/>
      <c r="L4" s="20"/>
      <c r="M4" s="20"/>
      <c r="N4" s="20"/>
      <c r="O4" s="20"/>
      <c r="P4" s="20"/>
      <c r="Q4" s="20"/>
      <c r="R4" s="20"/>
      <c r="S4" s="20"/>
      <c r="T4" s="20"/>
      <c r="U4" s="20"/>
      <c r="V4" s="20"/>
      <c r="W4" s="20"/>
      <c r="X4" s="20"/>
      <c r="Y4" s="20"/>
      <c r="Z4" s="20"/>
      <c r="AA4" s="20"/>
    </row>
    <row r="5" customFormat="false" ht="15" hidden="false" customHeight="true" outlineLevel="0" collapsed="false">
      <c r="A5" s="30" t="s">
        <v>683</v>
      </c>
    </row>
    <row r="6" customFormat="false" ht="15" hidden="false" customHeight="true" outlineLevel="0" collapsed="false">
      <c r="A6" s="41" t="s">
        <v>684</v>
      </c>
      <c r="B6" s="47" t="n">
        <v>0.52</v>
      </c>
    </row>
    <row r="7" customFormat="false" ht="15" hidden="false" customHeight="true" outlineLevel="0" collapsed="false">
      <c r="A7" s="41" t="s">
        <v>685</v>
      </c>
      <c r="B7" s="48" t="n">
        <v>0.007</v>
      </c>
    </row>
    <row r="8" customFormat="false" ht="15" hidden="false" customHeight="true" outlineLevel="0" collapsed="false">
      <c r="A8" s="41" t="s">
        <v>686</v>
      </c>
      <c r="B8" s="48" t="n">
        <v>0.0002</v>
      </c>
    </row>
    <row r="9" customFormat="false" ht="15" hidden="false" customHeight="true" outlineLevel="0" collapsed="false">
      <c r="A9" s="41" t="s">
        <v>687</v>
      </c>
      <c r="B9" s="48" t="n">
        <v>5E-005</v>
      </c>
    </row>
    <row r="11" customFormat="false" ht="15" hidden="false" customHeight="true" outlineLevel="0" collapsed="false">
      <c r="A11" s="19" t="s">
        <v>688</v>
      </c>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row>
    <row r="12" customFormat="false" ht="15" hidden="false" customHeight="true" outlineLevel="0" collapsed="false">
      <c r="A12" s="41" t="s">
        <v>689</v>
      </c>
      <c r="B12" s="49" t="n">
        <v>140</v>
      </c>
    </row>
    <row r="13" customFormat="false" ht="15" hidden="false" customHeight="true" outlineLevel="0" collapsed="false">
      <c r="A13" s="41" t="s">
        <v>690</v>
      </c>
      <c r="B13" s="49" t="n">
        <v>190</v>
      </c>
    </row>
    <row r="14" customFormat="false" ht="15" hidden="false" customHeight="true" outlineLevel="0" collapsed="false">
      <c r="A14" s="41" t="s">
        <v>691</v>
      </c>
      <c r="B14" s="49" t="n">
        <v>380</v>
      </c>
    </row>
    <row r="15" customFormat="false" ht="15" hidden="false" customHeight="true" outlineLevel="0" collapsed="false">
      <c r="A15" s="41" t="s">
        <v>692</v>
      </c>
      <c r="B15" s="49" t="n">
        <v>1600</v>
      </c>
    </row>
    <row r="16" customFormat="false" ht="15" hidden="false" customHeight="true" outlineLevel="0" collapsed="false">
      <c r="A16" s="41" t="s">
        <v>693</v>
      </c>
      <c r="B16" s="49" t="n">
        <v>5400</v>
      </c>
    </row>
    <row r="18" customFormat="false" ht="15" hidden="false" customHeight="true" outlineLevel="0" collapsed="false">
      <c r="A18" s="4" t="s">
        <v>694</v>
      </c>
    </row>
    <row r="19" customFormat="false" ht="15" hidden="false" customHeight="true" outlineLevel="0" collapsed="false">
      <c r="A19" s="41" t="s">
        <v>695</v>
      </c>
      <c r="B19" s="50" t="n">
        <f aca="false">$B$6*$B$12</f>
        <v>72.8</v>
      </c>
    </row>
    <row r="20" customFormat="false" ht="15" hidden="false" customHeight="true" outlineLevel="0" collapsed="false">
      <c r="A20" s="41" t="s">
        <v>696</v>
      </c>
      <c r="B20" s="50" t="n">
        <f aca="false">$B$6*$B$13</f>
        <v>98.8</v>
      </c>
    </row>
    <row r="21" customFormat="false" ht="15" hidden="false" customHeight="true" outlineLevel="0" collapsed="false">
      <c r="A21" s="41" t="s">
        <v>697</v>
      </c>
      <c r="B21" s="50" t="n">
        <f aca="false">$B$6*$B$14</f>
        <v>197.6</v>
      </c>
    </row>
    <row r="23" customFormat="false" ht="15" hidden="false" customHeight="true" outlineLevel="0" collapsed="false">
      <c r="A23" s="19" t="s">
        <v>698</v>
      </c>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row>
    <row r="24" customFormat="false" ht="15" hidden="false" customHeight="true" outlineLevel="0" collapsed="false">
      <c r="A24" s="41" t="s">
        <v>699</v>
      </c>
      <c r="B24" s="49" t="n">
        <v>350000</v>
      </c>
    </row>
    <row r="25" customFormat="false" ht="15" hidden="false" customHeight="true" outlineLevel="0" collapsed="false">
      <c r="A25" s="41" t="s">
        <v>700</v>
      </c>
      <c r="B25" s="49" t="n">
        <v>54000</v>
      </c>
    </row>
    <row r="26" customFormat="false" ht="15" hidden="false" customHeight="true" outlineLevel="0" collapsed="false">
      <c r="A26" s="41" t="s">
        <v>701</v>
      </c>
      <c r="B26" s="49" t="n">
        <v>8600</v>
      </c>
    </row>
    <row r="28" customFormat="false" ht="15" hidden="false" customHeight="true" outlineLevel="0" collapsed="false">
      <c r="A28" s="4" t="s">
        <v>702</v>
      </c>
    </row>
    <row r="29" customFormat="false" ht="15" hidden="false" customHeight="true" outlineLevel="0" collapsed="false">
      <c r="A29" s="41" t="s">
        <v>703</v>
      </c>
      <c r="B29" s="50" t="n">
        <f aca="false">$B$8*$B$24+$B$9*$B$25+$B$7*$B$26</f>
        <v>132.9</v>
      </c>
    </row>
    <row r="31" customFormat="false" ht="15" hidden="false" customHeight="true" outlineLevel="0" collapsed="false">
      <c r="A31" s="19" t="s">
        <v>704</v>
      </c>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row>
    <row r="32" customFormat="false" ht="15" hidden="false" customHeight="true" outlineLevel="0" collapsed="false">
      <c r="A32" s="41" t="s">
        <v>705</v>
      </c>
      <c r="B32" s="47" t="n">
        <v>0.25</v>
      </c>
    </row>
    <row r="33" customFormat="false" ht="15" hidden="false" customHeight="true" outlineLevel="0" collapsed="false">
      <c r="A33" s="41" t="s">
        <v>706</v>
      </c>
      <c r="B33" s="47" t="n">
        <v>1</v>
      </c>
    </row>
    <row r="34" customFormat="false" ht="15" hidden="false" customHeight="true" outlineLevel="0" collapsed="false">
      <c r="A34" s="41" t="s">
        <v>707</v>
      </c>
      <c r="B34" s="47" t="n">
        <v>1.75</v>
      </c>
    </row>
    <row r="36" customFormat="false" ht="15" hidden="false" customHeight="true" outlineLevel="0" collapsed="false">
      <c r="A36" s="19" t="s">
        <v>708</v>
      </c>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row>
    <row r="37" customFormat="false" ht="15" hidden="false" customHeight="true" outlineLevel="0" collapsed="false">
      <c r="A37" s="41" t="s">
        <v>709</v>
      </c>
      <c r="B37" s="47" t="n">
        <v>1</v>
      </c>
    </row>
    <row r="38" customFormat="false" ht="15" hidden="false" customHeight="true" outlineLevel="0" collapsed="false">
      <c r="A38" s="41" t="s">
        <v>710</v>
      </c>
      <c r="B38" s="47" t="n">
        <v>10</v>
      </c>
    </row>
    <row r="41" customFormat="false" ht="15" hidden="false" customHeight="true" outlineLevel="0" collapsed="false">
      <c r="A41" s="19" t="s">
        <v>711</v>
      </c>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row>
    <row r="42" customFormat="false" ht="15" hidden="false" customHeight="true" outlineLevel="0" collapsed="false">
      <c r="A42" s="30" t="s">
        <v>712</v>
      </c>
    </row>
    <row r="43" customFormat="false" ht="15" hidden="false" customHeight="true" outlineLevel="0" collapsed="false">
      <c r="A43" s="26" t="s">
        <v>713</v>
      </c>
      <c r="B43" s="26" t="s">
        <v>714</v>
      </c>
      <c r="C43" s="26" t="s">
        <v>715</v>
      </c>
    </row>
    <row r="44" customFormat="false" ht="15" hidden="false" customHeight="true" outlineLevel="0" collapsed="false">
      <c r="A44" s="41" t="s">
        <v>716</v>
      </c>
      <c r="B44" s="50" t="n">
        <f aca="false">$B$29*$B$32*$B$37</f>
        <v>33.225</v>
      </c>
      <c r="C44" s="50" t="n">
        <f aca="false">$B$29*$B$32*$B$38</f>
        <v>332.25</v>
      </c>
    </row>
    <row r="45" customFormat="false" ht="15" hidden="false" customHeight="true" outlineLevel="0" collapsed="false">
      <c r="A45" s="41" t="s">
        <v>717</v>
      </c>
      <c r="B45" s="50" t="n">
        <f aca="false">$B$29*$B$33*$B$37</f>
        <v>132.9</v>
      </c>
      <c r="C45" s="50" t="n">
        <f aca="false">$B$29*$B$33*$B$38</f>
        <v>1329</v>
      </c>
    </row>
    <row r="46" customFormat="false" ht="15" hidden="false" customHeight="true" outlineLevel="0" collapsed="false">
      <c r="A46" s="41" t="s">
        <v>718</v>
      </c>
      <c r="B46" s="50" t="n">
        <f aca="false">$B$29*$B$34*$B$37</f>
        <v>232.575</v>
      </c>
      <c r="C46" s="50" t="n">
        <f aca="false">$B$29*$B$34*$B$38</f>
        <v>2325.75</v>
      </c>
    </row>
    <row r="48" customFormat="false" ht="15" hidden="false" customHeight="true" outlineLevel="0" collapsed="false">
      <c r="A48" s="4" t="s">
        <v>719</v>
      </c>
    </row>
    <row r="49" customFormat="false" ht="15" hidden="false" customHeight="true" outlineLevel="0" collapsed="false">
      <c r="A49" s="41" t="s">
        <v>720</v>
      </c>
      <c r="B49" s="50" t="n">
        <f aca="false">$B$20</f>
        <v>98.8</v>
      </c>
    </row>
    <row r="50" customFormat="false" ht="15" hidden="false" customHeight="true" outlineLevel="0" collapsed="false">
      <c r="A50" s="36" t="s">
        <v>721</v>
      </c>
      <c r="B50" s="50" t="n">
        <f aca="false">$B$19</f>
        <v>72.8</v>
      </c>
      <c r="C50" s="50" t="n">
        <f aca="false">$B$21</f>
        <v>197.6</v>
      </c>
    </row>
    <row r="52" customFormat="false" ht="15" hidden="false" customHeight="true" outlineLevel="0" collapsed="false">
      <c r="A52" s="19" t="s">
        <v>722</v>
      </c>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row>
    <row r="53" customFormat="false" ht="15" hidden="false" customHeight="true" outlineLevel="0" collapsed="false">
      <c r="A53" s="30" t="s">
        <v>723</v>
      </c>
    </row>
    <row r="54" customFormat="false" ht="15" hidden="false" customHeight="true" outlineLevel="0" collapsed="false">
      <c r="A54" s="30" t="s">
        <v>724</v>
      </c>
    </row>
    <row r="55" customFormat="false" ht="15" hidden="false" customHeight="true" outlineLevel="0" collapsed="false">
      <c r="A55" s="30" t="s">
        <v>725</v>
      </c>
    </row>
    <row r="56" customFormat="false" ht="15" hidden="false" customHeight="true" outlineLevel="0" collapsed="false">
      <c r="A56" s="30" t="s">
        <v>726</v>
      </c>
    </row>
    <row r="58" customFormat="false" ht="15" hidden="false" customHeight="true" outlineLevel="0" collapsed="false">
      <c r="A58" s="19" t="s">
        <v>727</v>
      </c>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row>
    <row r="59" customFormat="false" ht="15" hidden="false" customHeight="true" outlineLevel="0" collapsed="false">
      <c r="A59" s="51" t="s">
        <v>728</v>
      </c>
    </row>
    <row r="60" customFormat="false" ht="15" hidden="false" customHeight="true" outlineLevel="0" collapsed="false">
      <c r="A60" s="51" t="s">
        <v>729</v>
      </c>
    </row>
    <row r="61" customFormat="false" ht="15" hidden="false" customHeight="true" outlineLevel="0" collapsed="false">
      <c r="A61" s="32"/>
    </row>
    <row r="62" customFormat="false" ht="15" hidden="false" customHeight="true" outlineLevel="0" collapsed="false">
      <c r="A62" s="51" t="s">
        <v>730</v>
      </c>
    </row>
    <row r="63" customFormat="false" ht="15" hidden="false" customHeight="true" outlineLevel="0" collapsed="false">
      <c r="A63" s="51" t="s">
        <v>731</v>
      </c>
    </row>
    <row r="64" customFormat="false" ht="15" hidden="false" customHeight="true" outlineLevel="0" collapsed="false">
      <c r="A64" s="32"/>
    </row>
    <row r="65" customFormat="false" ht="15" hidden="false" customHeight="true" outlineLevel="0" collapsed="false">
      <c r="A65" s="51" t="s">
        <v>732</v>
      </c>
    </row>
    <row r="66" customFormat="false" ht="15" hidden="false" customHeight="true" outlineLevel="0" collapsed="false">
      <c r="A66" s="19" t="s">
        <v>733</v>
      </c>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row>
    <row r="67" customFormat="false" ht="15" hidden="false" customHeight="true" outlineLevel="0" collapsed="false">
      <c r="A67" s="30" t="s">
        <v>734</v>
      </c>
    </row>
    <row r="68" customFormat="false" ht="15" hidden="false" customHeight="true" outlineLevel="0" collapsed="false">
      <c r="A68" s="41" t="s">
        <v>735</v>
      </c>
      <c r="B68" s="48" t="n">
        <v>0.3396</v>
      </c>
    </row>
    <row r="69" customFormat="false" ht="15" hidden="false" customHeight="true" outlineLevel="0" collapsed="false">
      <c r="A69" s="41" t="s">
        <v>736</v>
      </c>
      <c r="B69" s="48" t="n">
        <v>3E-005</v>
      </c>
    </row>
    <row r="70" customFormat="false" ht="15" hidden="false" customHeight="true" outlineLevel="0" collapsed="false">
      <c r="A70" s="41" t="s">
        <v>737</v>
      </c>
      <c r="B70" s="48" t="n">
        <v>1E-006</v>
      </c>
    </row>
    <row r="71" customFormat="false" ht="15" hidden="false" customHeight="true" outlineLevel="0" collapsed="false">
      <c r="A71" s="41" t="s">
        <v>738</v>
      </c>
      <c r="B71" s="48" t="n">
        <v>7E-006</v>
      </c>
    </row>
    <row r="73" customFormat="false" ht="15" hidden="false" customHeight="true" outlineLevel="0" collapsed="false">
      <c r="A73" s="4" t="s">
        <v>739</v>
      </c>
      <c r="B73" s="50" t="n">
        <f aca="false">$B$68*$B$13</f>
        <v>64.524</v>
      </c>
    </row>
    <row r="74" customFormat="false" ht="15" hidden="false" customHeight="true" outlineLevel="0" collapsed="false">
      <c r="A74" s="4" t="s">
        <v>740</v>
      </c>
      <c r="B74" s="50" t="n">
        <f aca="false">($B$71*$B$24+$B$70*$B$25+$B$69*$B$26)*$B$33*$B$38</f>
        <v>27.62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6" min="2" style="1" width="14"/>
  </cols>
  <sheetData>
    <row r="1" customFormat="false" ht="19.5" hidden="false" customHeight="true" outlineLevel="0" collapsed="false">
      <c r="A1" s="2" t="s">
        <v>741</v>
      </c>
    </row>
    <row r="2" customFormat="false" ht="15" hidden="false" customHeight="true" outlineLevel="0" collapsed="false">
      <c r="A2" s="3" t="s">
        <v>742</v>
      </c>
    </row>
    <row r="4" customFormat="false" ht="15" hidden="false" customHeight="true" outlineLevel="0" collapsed="false">
      <c r="A4" s="19" t="s">
        <v>743</v>
      </c>
      <c r="B4" s="20"/>
      <c r="C4" s="20"/>
      <c r="D4" s="20"/>
      <c r="E4" s="20"/>
      <c r="F4" s="20"/>
      <c r="G4" s="20"/>
      <c r="H4" s="20"/>
      <c r="I4" s="20"/>
      <c r="J4" s="20"/>
      <c r="K4" s="20"/>
      <c r="L4" s="20"/>
      <c r="M4" s="20"/>
      <c r="N4" s="20"/>
      <c r="O4" s="20"/>
      <c r="P4" s="20"/>
      <c r="Q4" s="20"/>
      <c r="R4" s="20"/>
      <c r="S4" s="20"/>
      <c r="T4" s="20"/>
      <c r="U4" s="20"/>
      <c r="V4" s="20"/>
      <c r="W4" s="20"/>
      <c r="X4" s="20"/>
      <c r="Y4" s="20"/>
      <c r="Z4" s="20"/>
      <c r="AA4" s="20"/>
    </row>
    <row r="5" customFormat="false" ht="15" hidden="false" customHeight="true" outlineLevel="0" collapsed="false">
      <c r="A5" s="30" t="s">
        <v>744</v>
      </c>
    </row>
    <row r="6" customFormat="false" ht="15" hidden="false" customHeight="true" outlineLevel="0" collapsed="false">
      <c r="A6" s="30" t="s">
        <v>745</v>
      </c>
    </row>
    <row r="7" customFormat="false" ht="15" hidden="false" customHeight="true" outlineLevel="0" collapsed="false">
      <c r="A7" s="30" t="s">
        <v>746</v>
      </c>
    </row>
    <row r="8" customFormat="false" ht="15" hidden="false" customHeight="true" outlineLevel="0" collapsed="false">
      <c r="A8" s="30" t="s">
        <v>747</v>
      </c>
    </row>
    <row r="9" customFormat="false" ht="15" hidden="false" customHeight="true" outlineLevel="0" collapsed="false">
      <c r="A9" s="30" t="s">
        <v>748</v>
      </c>
    </row>
    <row r="10" customFormat="false" ht="15" hidden="false" customHeight="true" outlineLevel="0" collapsed="false">
      <c r="A10" s="30" t="s">
        <v>749</v>
      </c>
    </row>
    <row r="11" customFormat="false" ht="15" hidden="false" customHeight="true" outlineLevel="0" collapsed="false">
      <c r="A11" s="30" t="s">
        <v>750</v>
      </c>
    </row>
    <row r="12" customFormat="false" ht="15" hidden="false" customHeight="true" outlineLevel="0" collapsed="false">
      <c r="A12" s="30" t="s">
        <v>751</v>
      </c>
    </row>
    <row r="13" customFormat="false" ht="15" hidden="false" customHeight="true" outlineLevel="0" collapsed="false">
      <c r="A13" s="30" t="s">
        <v>752</v>
      </c>
    </row>
    <row r="14" customFormat="false" ht="15" hidden="false" customHeight="true" outlineLevel="0" collapsed="false">
      <c r="A14" s="30" t="s">
        <v>753</v>
      </c>
    </row>
    <row r="15" customFormat="false" ht="15" hidden="false" customHeight="true" outlineLevel="0" collapsed="false">
      <c r="A15" s="30" t="s">
        <v>754</v>
      </c>
    </row>
    <row r="16" customFormat="false" ht="15" hidden="false" customHeight="true" outlineLevel="0" collapsed="false">
      <c r="A16" s="30" t="s">
        <v>755</v>
      </c>
    </row>
    <row r="17" customFormat="false" ht="15" hidden="false" customHeight="true" outlineLevel="0" collapsed="false">
      <c r="A17" s="30" t="s">
        <v>756</v>
      </c>
    </row>
    <row r="19" customFormat="false" ht="15" hidden="false" customHeight="true" outlineLevel="0" collapsed="false">
      <c r="A19" s="19" t="s">
        <v>757</v>
      </c>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row>
    <row r="20" customFormat="false" ht="15" hidden="false" customHeight="true" outlineLevel="0" collapsed="false">
      <c r="A20" s="4" t="s">
        <v>758</v>
      </c>
      <c r="B20" s="4" t="s">
        <v>759</v>
      </c>
      <c r="C20" s="4" t="s">
        <v>760</v>
      </c>
      <c r="D20" s="4" t="s">
        <v>761</v>
      </c>
      <c r="E20" s="4" t="s">
        <v>762</v>
      </c>
      <c r="F20" s="4" t="s">
        <v>763</v>
      </c>
    </row>
    <row r="21" customFormat="false" ht="15" hidden="false" customHeight="true" outlineLevel="0" collapsed="false">
      <c r="A21" s="1" t="n">
        <v>2030</v>
      </c>
      <c r="B21" s="34" t="n">
        <v>33548</v>
      </c>
      <c r="C21" s="34" t="n">
        <v>19625</v>
      </c>
      <c r="D21" s="34" t="n">
        <v>140212</v>
      </c>
      <c r="E21" s="34" t="n">
        <v>0</v>
      </c>
      <c r="F21" s="52" t="n">
        <v>46.32</v>
      </c>
    </row>
    <row r="22" customFormat="false" ht="15" hidden="false" customHeight="true" outlineLevel="0" collapsed="false">
      <c r="A22" s="1" t="n">
        <v>2035</v>
      </c>
      <c r="B22" s="34" t="n">
        <v>45676</v>
      </c>
      <c r="C22" s="34" t="n">
        <v>36364</v>
      </c>
      <c r="D22" s="34" t="n">
        <v>207183</v>
      </c>
      <c r="E22" s="34" t="n">
        <v>0</v>
      </c>
      <c r="F22" s="52" t="n">
        <v>33.77</v>
      </c>
    </row>
    <row r="23" customFormat="false" ht="15" hidden="false" customHeight="true" outlineLevel="0" collapsed="false">
      <c r="A23" s="1" t="n">
        <v>2040</v>
      </c>
      <c r="B23" s="34" t="n">
        <v>56213</v>
      </c>
      <c r="C23" s="34" t="n">
        <v>76318</v>
      </c>
      <c r="D23" s="34" t="n">
        <v>259613</v>
      </c>
      <c r="E23" s="34" t="n">
        <v>0</v>
      </c>
      <c r="F23" s="52" t="n">
        <v>17.37</v>
      </c>
    </row>
    <row r="24" customFormat="false" ht="15" hidden="false" customHeight="true" outlineLevel="0" collapsed="false">
      <c r="A24" s="1" t="s">
        <v>764</v>
      </c>
      <c r="B24" s="34" t="n">
        <v>137738</v>
      </c>
      <c r="C24" s="34" t="n">
        <v>203103</v>
      </c>
      <c r="D24" s="34" t="n">
        <v>632388</v>
      </c>
      <c r="E24" s="34" t="n">
        <v>2551758</v>
      </c>
      <c r="F24" s="52" t="n">
        <v>0.1</v>
      </c>
    </row>
    <row r="26" customFormat="false" ht="15" hidden="false" customHeight="true" outlineLevel="0" collapsed="false">
      <c r="A26" s="19" t="s">
        <v>765</v>
      </c>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row>
    <row r="27" customFormat="false" ht="15" hidden="false" customHeight="true" outlineLevel="0" collapsed="false">
      <c r="A27" s="4" t="s">
        <v>758</v>
      </c>
      <c r="B27" s="4" t="s">
        <v>759</v>
      </c>
      <c r="C27" s="4" t="s">
        <v>760</v>
      </c>
      <c r="D27" s="4" t="s">
        <v>762</v>
      </c>
      <c r="E27" s="4" t="s">
        <v>766</v>
      </c>
    </row>
    <row r="28" customFormat="false" ht="15" hidden="false" customHeight="true" outlineLevel="0" collapsed="false">
      <c r="A28" s="1" t="n">
        <v>2026</v>
      </c>
      <c r="B28" s="34" t="n">
        <v>0</v>
      </c>
      <c r="C28" s="34" t="n">
        <v>0</v>
      </c>
      <c r="D28" s="34" t="n">
        <v>0</v>
      </c>
      <c r="E28" s="53" t="n">
        <v>0</v>
      </c>
    </row>
    <row r="29" customFormat="false" ht="15" hidden="false" customHeight="true" outlineLevel="0" collapsed="false">
      <c r="A29" s="1" t="n">
        <v>2027</v>
      </c>
      <c r="B29" s="34" t="n">
        <v>8387</v>
      </c>
      <c r="C29" s="34" t="n">
        <v>4906</v>
      </c>
      <c r="D29" s="34" t="n">
        <v>0</v>
      </c>
      <c r="E29" s="53" t="n">
        <v>977.3</v>
      </c>
    </row>
    <row r="30" customFormat="false" ht="15" hidden="false" customHeight="true" outlineLevel="0" collapsed="false">
      <c r="A30" s="1" t="n">
        <v>2028</v>
      </c>
      <c r="B30" s="34" t="n">
        <v>16774</v>
      </c>
      <c r="C30" s="34" t="n">
        <v>9812</v>
      </c>
      <c r="D30" s="34" t="n">
        <v>0</v>
      </c>
      <c r="E30" s="53" t="n">
        <v>1954.6</v>
      </c>
    </row>
    <row r="31" customFormat="false" ht="15" hidden="false" customHeight="true" outlineLevel="0" collapsed="false">
      <c r="A31" s="1" t="n">
        <v>2029</v>
      </c>
      <c r="B31" s="34" t="n">
        <v>25161</v>
      </c>
      <c r="C31" s="34" t="n">
        <v>14719</v>
      </c>
      <c r="D31" s="34" t="n">
        <v>0</v>
      </c>
      <c r="E31" s="53" t="n">
        <v>2931.9</v>
      </c>
    </row>
    <row r="32" customFormat="false" ht="15" hidden="false" customHeight="true" outlineLevel="0" collapsed="false">
      <c r="A32" s="1" t="n">
        <v>2030</v>
      </c>
      <c r="B32" s="34" t="n">
        <v>33548</v>
      </c>
      <c r="C32" s="34" t="n">
        <v>19625</v>
      </c>
      <c r="D32" s="34" t="n">
        <v>0</v>
      </c>
      <c r="E32" s="53" t="n">
        <v>3909.2</v>
      </c>
    </row>
    <row r="33" customFormat="false" ht="15" hidden="false" customHeight="true" outlineLevel="0" collapsed="false">
      <c r="A33" s="1" t="n">
        <v>2031</v>
      </c>
      <c r="B33" s="34" t="n">
        <v>35974</v>
      </c>
      <c r="C33" s="34" t="n">
        <v>22973</v>
      </c>
      <c r="D33" s="34" t="n">
        <v>0</v>
      </c>
      <c r="E33" s="53" t="n">
        <v>4322.7</v>
      </c>
    </row>
    <row r="34" customFormat="false" ht="15" hidden="false" customHeight="true" outlineLevel="0" collapsed="false">
      <c r="A34" s="1" t="n">
        <v>2032</v>
      </c>
      <c r="B34" s="34" t="n">
        <v>38399</v>
      </c>
      <c r="C34" s="34" t="n">
        <v>26321</v>
      </c>
      <c r="D34" s="34" t="n">
        <v>0</v>
      </c>
      <c r="E34" s="53" t="n">
        <v>4736.2</v>
      </c>
    </row>
    <row r="35" customFormat="false" ht="15" hidden="false" customHeight="true" outlineLevel="0" collapsed="false">
      <c r="A35" s="1" t="n">
        <v>2033</v>
      </c>
      <c r="B35" s="34" t="n">
        <v>40825</v>
      </c>
      <c r="C35" s="34" t="n">
        <v>29668</v>
      </c>
      <c r="D35" s="34" t="n">
        <v>0</v>
      </c>
      <c r="E35" s="53" t="n">
        <v>5149.7</v>
      </c>
    </row>
    <row r="36" customFormat="false" ht="15" hidden="false" customHeight="true" outlineLevel="0" collapsed="false">
      <c r="A36" s="1" t="n">
        <v>2034</v>
      </c>
      <c r="B36" s="34" t="n">
        <v>43250</v>
      </c>
      <c r="C36" s="34" t="n">
        <v>33016</v>
      </c>
      <c r="D36" s="34" t="n">
        <v>0</v>
      </c>
      <c r="E36" s="53" t="n">
        <v>5563.2</v>
      </c>
    </row>
    <row r="37" customFormat="false" ht="15" hidden="false" customHeight="true" outlineLevel="0" collapsed="false">
      <c r="A37" s="1" t="n">
        <v>2035</v>
      </c>
      <c r="B37" s="34" t="n">
        <v>45676</v>
      </c>
      <c r="C37" s="34" t="n">
        <v>36364</v>
      </c>
      <c r="D37" s="34" t="n">
        <v>0</v>
      </c>
      <c r="E37" s="53" t="n">
        <v>5976.7</v>
      </c>
    </row>
    <row r="38" customFormat="false" ht="15" hidden="false" customHeight="true" outlineLevel="0" collapsed="false">
      <c r="A38" s="1" t="n">
        <v>2036</v>
      </c>
      <c r="B38" s="34" t="n">
        <v>47783</v>
      </c>
      <c r="C38" s="34" t="n">
        <v>44355</v>
      </c>
      <c r="D38" s="34" t="n">
        <v>0</v>
      </c>
      <c r="E38" s="53" t="n">
        <v>6269.2</v>
      </c>
    </row>
    <row r="39" customFormat="false" ht="15" hidden="false" customHeight="true" outlineLevel="0" collapsed="false">
      <c r="A39" s="1" t="n">
        <v>2037</v>
      </c>
      <c r="B39" s="34" t="n">
        <v>49891</v>
      </c>
      <c r="C39" s="34" t="n">
        <v>52346</v>
      </c>
      <c r="D39" s="34" t="n">
        <v>0</v>
      </c>
      <c r="E39" s="53" t="n">
        <v>6561.7</v>
      </c>
    </row>
    <row r="40" customFormat="false" ht="15" hidden="false" customHeight="true" outlineLevel="0" collapsed="false">
      <c r="A40" s="1" t="n">
        <v>2038</v>
      </c>
      <c r="B40" s="34" t="n">
        <v>51998</v>
      </c>
      <c r="C40" s="34" t="n">
        <v>60336</v>
      </c>
      <c r="D40" s="34" t="n">
        <v>0</v>
      </c>
      <c r="E40" s="53" t="n">
        <v>6854.3</v>
      </c>
    </row>
    <row r="41" customFormat="false" ht="15" hidden="false" customHeight="true" outlineLevel="0" collapsed="false">
      <c r="A41" s="1" t="n">
        <v>2039</v>
      </c>
      <c r="B41" s="34" t="n">
        <v>54106</v>
      </c>
      <c r="C41" s="34" t="n">
        <v>68327</v>
      </c>
      <c r="D41" s="34" t="n">
        <v>0</v>
      </c>
      <c r="E41" s="53" t="n">
        <v>7146.8</v>
      </c>
    </row>
    <row r="42" customFormat="false" ht="15" hidden="false" customHeight="true" outlineLevel="0" collapsed="false">
      <c r="A42" s="1" t="n">
        <v>2040</v>
      </c>
      <c r="B42" s="34" t="n">
        <v>56213</v>
      </c>
      <c r="C42" s="34" t="n">
        <v>76318</v>
      </c>
      <c r="D42" s="34" t="n">
        <v>0</v>
      </c>
      <c r="E42" s="53" t="n">
        <v>7439.3</v>
      </c>
    </row>
    <row r="43" customFormat="false" ht="15" hidden="false" customHeight="true" outlineLevel="0" collapsed="false">
      <c r="A43" s="1" t="n">
        <v>2041</v>
      </c>
      <c r="B43" s="34" t="n">
        <v>72518</v>
      </c>
      <c r="C43" s="34" t="n">
        <v>101675</v>
      </c>
      <c r="D43" s="34" t="n">
        <v>510352</v>
      </c>
      <c r="E43" s="53" t="n">
        <v>9672.9</v>
      </c>
    </row>
    <row r="44" customFormat="false" ht="15" hidden="false" customHeight="true" outlineLevel="0" collapsed="false">
      <c r="A44" s="1" t="n">
        <v>2042</v>
      </c>
      <c r="B44" s="34" t="n">
        <v>88823</v>
      </c>
      <c r="C44" s="34" t="n">
        <v>127032</v>
      </c>
      <c r="D44" s="34" t="n">
        <v>1020703</v>
      </c>
      <c r="E44" s="53" t="n">
        <v>11906.4</v>
      </c>
    </row>
    <row r="45" customFormat="false" ht="15" hidden="false" customHeight="true" outlineLevel="0" collapsed="false">
      <c r="A45" s="1" t="n">
        <v>2043</v>
      </c>
      <c r="B45" s="34" t="n">
        <v>105128</v>
      </c>
      <c r="C45" s="34" t="n">
        <v>152389</v>
      </c>
      <c r="D45" s="34" t="n">
        <v>1531055</v>
      </c>
      <c r="E45" s="53" t="n">
        <v>14140</v>
      </c>
    </row>
    <row r="46" customFormat="false" ht="15" hidden="false" customHeight="true" outlineLevel="0" collapsed="false">
      <c r="A46" s="1" t="n">
        <v>2044</v>
      </c>
      <c r="B46" s="34" t="n">
        <v>121433</v>
      </c>
      <c r="C46" s="34" t="n">
        <v>177746</v>
      </c>
      <c r="D46" s="34" t="n">
        <v>2041406</v>
      </c>
      <c r="E46" s="53" t="n">
        <v>16373.5</v>
      </c>
    </row>
    <row r="47" customFormat="false" ht="15" hidden="false" customHeight="true" outlineLevel="0" collapsed="false">
      <c r="A47" s="1" t="n">
        <v>2045</v>
      </c>
      <c r="B47" s="34" t="n">
        <v>137738</v>
      </c>
      <c r="C47" s="34" t="n">
        <v>203103</v>
      </c>
      <c r="D47" s="34" t="n">
        <v>2551758</v>
      </c>
      <c r="E47" s="53" t="n">
        <v>18607.1</v>
      </c>
    </row>
    <row r="49" customFormat="false" ht="15" hidden="false" customHeight="true" outlineLevel="0" collapsed="false">
      <c r="A49" s="19" t="s">
        <v>767</v>
      </c>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row>
    <row r="50" customFormat="false" ht="15" hidden="false" customHeight="true" outlineLevel="0" collapsed="false">
      <c r="A50" s="4" t="s">
        <v>768</v>
      </c>
      <c r="B50" s="35" t="n">
        <f aca="false">SUMPRODUCT(E28:E47,1/(1.045^(ROW(E28:E47)-ROW(E28))))</f>
        <v>80620.3132684953</v>
      </c>
    </row>
    <row r="51" customFormat="false" ht="15" hidden="false" customHeight="true" outlineLevel="0" collapsed="false">
      <c r="A51" s="4" t="s">
        <v>769</v>
      </c>
      <c r="B51" s="34" t="n">
        <f aca="false">119818/(1.045^0)+125136/(1.045^1)+130462/(1.045^2)+135796/(1.045^3)+141138/(1.045^4)+146489/(1.045^5)+151848/(1.045^6)+157216/(1.045^7)+162592/(1.045^8)+163469/(1.045^9)+164355/(1.045^10)+165249/(1.045^11)+166153/(1.045^12)+167065/(1.045^13)+167987/(1.045^14)+168918/(1.045^15)+169858/(1.045^16)+170808/(1.045^17)+171767/(1.045^18)+172736/(1.045^19)</f>
        <v>2065725.62539457</v>
      </c>
    </row>
    <row r="52" customFormat="false" ht="15" hidden="false" customHeight="true" outlineLevel="0" collapsed="false">
      <c r="A52" s="4" t="s">
        <v>770</v>
      </c>
      <c r="B52" s="54" t="n">
        <f aca="false">B50*1000/B51</f>
        <v>39.0275999277958</v>
      </c>
    </row>
    <row r="54" customFormat="false" ht="15" hidden="false" customHeight="true" outlineLevel="0" collapsed="false">
      <c r="A54" s="30" t="s">
        <v>771</v>
      </c>
    </row>
    <row r="55" customFormat="false" ht="15" hidden="false" customHeight="true" outlineLevel="0" collapsed="false">
      <c r="A55" s="30" t="s">
        <v>772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6" min="2" style="1" width="14"/>
  </cols>
  <sheetData>
    <row r="1" customFormat="false" ht="19.5" hidden="false" customHeight="true" outlineLevel="0" collapsed="false">
      <c r="A1" s="2" t="s">
        <v>773</v>
      </c>
    </row>
    <row r="2" customFormat="false" ht="15" hidden="false" customHeight="true" outlineLevel="0" collapsed="false">
      <c r="A2" s="3" t="s">
        <v>774</v>
      </c>
    </row>
    <row r="4" customFormat="false" ht="15" hidden="false" customHeight="true" outlineLevel="0" collapsed="false">
      <c r="A4" s="19" t="s">
        <v>775</v>
      </c>
      <c r="B4" s="20"/>
      <c r="C4" s="20"/>
      <c r="D4" s="20"/>
      <c r="E4" s="20"/>
      <c r="F4" s="20"/>
      <c r="G4" s="20"/>
      <c r="H4" s="20"/>
      <c r="I4" s="20"/>
      <c r="J4" s="20"/>
      <c r="K4" s="20"/>
      <c r="L4" s="20"/>
      <c r="M4" s="20"/>
      <c r="N4" s="20"/>
      <c r="O4" s="20"/>
      <c r="P4" s="20"/>
      <c r="Q4" s="20"/>
      <c r="R4" s="20"/>
      <c r="S4" s="20"/>
      <c r="T4" s="20"/>
      <c r="U4" s="20"/>
      <c r="V4" s="20"/>
      <c r="W4" s="20"/>
      <c r="X4" s="20"/>
      <c r="Y4" s="20"/>
      <c r="Z4" s="20"/>
      <c r="AA4" s="20"/>
    </row>
    <row r="5" customFormat="false" ht="15" hidden="false" customHeight="true" outlineLevel="0" collapsed="false">
      <c r="A5" s="30" t="s">
        <v>776</v>
      </c>
    </row>
    <row r="6" customFormat="false" ht="15" hidden="false" customHeight="true" outlineLevel="0" collapsed="false">
      <c r="A6" s="30" t="s">
        <v>777</v>
      </c>
    </row>
    <row r="7" customFormat="false" ht="15" hidden="false" customHeight="true" outlineLevel="0" collapsed="false">
      <c r="A7" s="30" t="s">
        <v>778</v>
      </c>
    </row>
    <row r="8" customFormat="false" ht="15" hidden="false" customHeight="true" outlineLevel="0" collapsed="false">
      <c r="A8" s="30" t="s">
        <v>779</v>
      </c>
    </row>
    <row r="10" customFormat="false" ht="15" hidden="false" customHeight="true" outlineLevel="0" collapsed="false">
      <c r="A10" s="19" t="s">
        <v>757</v>
      </c>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row>
    <row r="11" customFormat="false" ht="15" hidden="false" customHeight="true" outlineLevel="0" collapsed="false">
      <c r="A11" s="4" t="s">
        <v>758</v>
      </c>
      <c r="B11" s="4" t="s">
        <v>759</v>
      </c>
      <c r="C11" s="4" t="s">
        <v>760</v>
      </c>
      <c r="D11" s="4" t="s">
        <v>761</v>
      </c>
      <c r="E11" s="4" t="s">
        <v>762</v>
      </c>
      <c r="F11" s="4" t="s">
        <v>763</v>
      </c>
    </row>
    <row r="12" customFormat="false" ht="15" hidden="false" customHeight="true" outlineLevel="0" collapsed="false">
      <c r="A12" s="1" t="n">
        <v>2030</v>
      </c>
      <c r="B12" s="34" t="n">
        <v>33224</v>
      </c>
      <c r="C12" s="34" t="n">
        <v>19446</v>
      </c>
      <c r="D12" s="34" t="n">
        <v>138942</v>
      </c>
      <c r="E12" s="34" t="n">
        <v>0</v>
      </c>
      <c r="F12" s="52" t="n">
        <v>46.14</v>
      </c>
    </row>
    <row r="13" customFormat="false" ht="15" hidden="false" customHeight="true" outlineLevel="0" collapsed="false">
      <c r="A13" s="1" t="n">
        <v>2035</v>
      </c>
      <c r="B13" s="34" t="n">
        <v>44778</v>
      </c>
      <c r="C13" s="34" t="n">
        <v>35783</v>
      </c>
      <c r="D13" s="34" t="n">
        <v>203085</v>
      </c>
      <c r="E13" s="34" t="n">
        <v>0</v>
      </c>
      <c r="F13" s="52" t="n">
        <v>33.53</v>
      </c>
    </row>
    <row r="14" customFormat="false" ht="15" hidden="false" customHeight="true" outlineLevel="0" collapsed="false">
      <c r="A14" s="1" t="n">
        <v>2040</v>
      </c>
      <c r="B14" s="34" t="n">
        <v>53645</v>
      </c>
      <c r="C14" s="34" t="n">
        <v>70553</v>
      </c>
      <c r="D14" s="34" t="n">
        <v>247623</v>
      </c>
      <c r="E14" s="34" t="n">
        <v>0</v>
      </c>
      <c r="F14" s="52" t="n">
        <v>17.21</v>
      </c>
    </row>
    <row r="15" customFormat="false" ht="15" hidden="false" customHeight="true" outlineLevel="0" collapsed="false">
      <c r="A15" s="1" t="s">
        <v>764</v>
      </c>
      <c r="B15" s="34" t="n">
        <v>130321</v>
      </c>
      <c r="C15" s="34" t="n">
        <v>190322</v>
      </c>
      <c r="D15" s="34" t="n">
        <v>599355</v>
      </c>
      <c r="E15" s="34" t="n">
        <v>2404364</v>
      </c>
      <c r="F15" s="52" t="n">
        <v>0.1</v>
      </c>
    </row>
    <row r="17" customFormat="false" ht="15" hidden="false" customHeight="true" outlineLevel="0" collapsed="false">
      <c r="A17" s="19" t="s">
        <v>780</v>
      </c>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row>
    <row r="18" customFormat="false" ht="15" hidden="false" customHeight="true" outlineLevel="0" collapsed="false">
      <c r="A18" s="4" t="s">
        <v>758</v>
      </c>
      <c r="B18" s="4" t="s">
        <v>759</v>
      </c>
      <c r="C18" s="4" t="s">
        <v>760</v>
      </c>
      <c r="D18" s="4" t="s">
        <v>762</v>
      </c>
      <c r="E18" s="4" t="s">
        <v>766</v>
      </c>
    </row>
    <row r="19" customFormat="false" ht="15" hidden="false" customHeight="true" outlineLevel="0" collapsed="false">
      <c r="A19" s="1" t="n">
        <v>2026</v>
      </c>
      <c r="B19" s="34" t="n">
        <v>0</v>
      </c>
      <c r="C19" s="34" t="n">
        <v>0</v>
      </c>
      <c r="D19" s="34" t="n">
        <v>0</v>
      </c>
      <c r="E19" s="53" t="n">
        <v>0</v>
      </c>
    </row>
    <row r="20" customFormat="false" ht="15" hidden="false" customHeight="true" outlineLevel="0" collapsed="false">
      <c r="A20" s="1" t="n">
        <v>2027</v>
      </c>
      <c r="B20" s="34" t="n">
        <v>8306</v>
      </c>
      <c r="C20" s="34" t="n">
        <v>4862</v>
      </c>
      <c r="D20" s="34" t="n">
        <v>0</v>
      </c>
      <c r="E20" s="53" t="n">
        <v>963.3</v>
      </c>
    </row>
    <row r="21" customFormat="false" ht="15" hidden="false" customHeight="true" outlineLevel="0" collapsed="false">
      <c r="A21" s="1" t="n">
        <v>2028</v>
      </c>
      <c r="B21" s="34" t="n">
        <v>16612</v>
      </c>
      <c r="C21" s="34" t="n">
        <v>9723</v>
      </c>
      <c r="D21" s="34" t="n">
        <v>0</v>
      </c>
      <c r="E21" s="53" t="n">
        <v>1926.5</v>
      </c>
    </row>
    <row r="22" customFormat="false" ht="15" hidden="false" customHeight="true" outlineLevel="0" collapsed="false">
      <c r="A22" s="1" t="n">
        <v>2029</v>
      </c>
      <c r="B22" s="34" t="n">
        <v>24918</v>
      </c>
      <c r="C22" s="34" t="n">
        <v>14584</v>
      </c>
      <c r="D22" s="34" t="n">
        <v>0</v>
      </c>
      <c r="E22" s="53" t="n">
        <v>2889.8</v>
      </c>
    </row>
    <row r="23" customFormat="false" ht="15" hidden="false" customHeight="true" outlineLevel="0" collapsed="false">
      <c r="A23" s="1" t="n">
        <v>2030</v>
      </c>
      <c r="B23" s="34" t="n">
        <v>33224</v>
      </c>
      <c r="C23" s="34" t="n">
        <v>19446</v>
      </c>
      <c r="D23" s="34" t="n">
        <v>0</v>
      </c>
      <c r="E23" s="53" t="n">
        <v>3853.1</v>
      </c>
    </row>
    <row r="24" customFormat="false" ht="15" hidden="false" customHeight="true" outlineLevel="0" collapsed="false">
      <c r="A24" s="1" t="n">
        <v>2031</v>
      </c>
      <c r="B24" s="34" t="n">
        <v>35535</v>
      </c>
      <c r="C24" s="34" t="n">
        <v>22713</v>
      </c>
      <c r="D24" s="34" t="n">
        <v>0</v>
      </c>
      <c r="E24" s="53" t="n">
        <v>4244.4</v>
      </c>
    </row>
    <row r="25" customFormat="false" ht="15" hidden="false" customHeight="true" outlineLevel="0" collapsed="false">
      <c r="A25" s="1" t="n">
        <v>2032</v>
      </c>
      <c r="B25" s="34" t="n">
        <v>37846</v>
      </c>
      <c r="C25" s="34" t="n">
        <v>25981</v>
      </c>
      <c r="D25" s="34" t="n">
        <v>0</v>
      </c>
      <c r="E25" s="53" t="n">
        <v>4635.7</v>
      </c>
    </row>
    <row r="26" customFormat="false" ht="15" hidden="false" customHeight="true" outlineLevel="0" collapsed="false">
      <c r="A26" s="1" t="n">
        <v>2033</v>
      </c>
      <c r="B26" s="34" t="n">
        <v>40156</v>
      </c>
      <c r="C26" s="34" t="n">
        <v>29248</v>
      </c>
      <c r="D26" s="34" t="n">
        <v>0</v>
      </c>
      <c r="E26" s="53" t="n">
        <v>5026.9</v>
      </c>
    </row>
    <row r="27" customFormat="false" ht="15" hidden="false" customHeight="true" outlineLevel="0" collapsed="false">
      <c r="A27" s="1" t="n">
        <v>2034</v>
      </c>
      <c r="B27" s="34" t="n">
        <v>42467</v>
      </c>
      <c r="C27" s="34" t="n">
        <v>32516</v>
      </c>
      <c r="D27" s="34" t="n">
        <v>0</v>
      </c>
      <c r="E27" s="53" t="n">
        <v>5418.2</v>
      </c>
    </row>
    <row r="28" customFormat="false" ht="15" hidden="false" customHeight="true" outlineLevel="0" collapsed="false">
      <c r="A28" s="1" t="n">
        <v>2035</v>
      </c>
      <c r="B28" s="34" t="n">
        <v>44778</v>
      </c>
      <c r="C28" s="34" t="n">
        <v>35783</v>
      </c>
      <c r="D28" s="34" t="n">
        <v>0</v>
      </c>
      <c r="E28" s="53" t="n">
        <v>5809.5</v>
      </c>
    </row>
    <row r="29" customFormat="false" ht="15" hidden="false" customHeight="true" outlineLevel="0" collapsed="false">
      <c r="A29" s="1" t="n">
        <v>2036</v>
      </c>
      <c r="B29" s="34" t="n">
        <v>46551</v>
      </c>
      <c r="C29" s="34" t="n">
        <v>42737</v>
      </c>
      <c r="D29" s="34" t="n">
        <v>0</v>
      </c>
      <c r="E29" s="53" t="n">
        <v>6067.1</v>
      </c>
    </row>
    <row r="30" customFormat="false" ht="15" hidden="false" customHeight="true" outlineLevel="0" collapsed="false">
      <c r="A30" s="1" t="n">
        <v>2037</v>
      </c>
      <c r="B30" s="34" t="n">
        <v>48325</v>
      </c>
      <c r="C30" s="34" t="n">
        <v>49691</v>
      </c>
      <c r="D30" s="34" t="n">
        <v>0</v>
      </c>
      <c r="E30" s="53" t="n">
        <v>6324.7</v>
      </c>
    </row>
    <row r="31" customFormat="false" ht="15" hidden="false" customHeight="true" outlineLevel="0" collapsed="false">
      <c r="A31" s="1" t="n">
        <v>2038</v>
      </c>
      <c r="B31" s="34" t="n">
        <v>50098</v>
      </c>
      <c r="C31" s="34" t="n">
        <v>56645</v>
      </c>
      <c r="D31" s="34" t="n">
        <v>0</v>
      </c>
      <c r="E31" s="53" t="n">
        <v>6582.3</v>
      </c>
    </row>
    <row r="32" customFormat="false" ht="15" hidden="false" customHeight="true" outlineLevel="0" collapsed="false">
      <c r="A32" s="1" t="n">
        <v>2039</v>
      </c>
      <c r="B32" s="34" t="n">
        <v>51872</v>
      </c>
      <c r="C32" s="34" t="n">
        <v>63599</v>
      </c>
      <c r="D32" s="34" t="n">
        <v>0</v>
      </c>
      <c r="E32" s="53" t="n">
        <v>6839.9</v>
      </c>
    </row>
    <row r="33" customFormat="false" ht="15" hidden="false" customHeight="true" outlineLevel="0" collapsed="false">
      <c r="A33" s="1" t="n">
        <v>2040</v>
      </c>
      <c r="B33" s="34" t="n">
        <v>53645</v>
      </c>
      <c r="C33" s="34" t="n">
        <v>70553</v>
      </c>
      <c r="D33" s="34" t="n">
        <v>0</v>
      </c>
      <c r="E33" s="53" t="n">
        <v>7097.5</v>
      </c>
    </row>
    <row r="34" customFormat="false" ht="15" hidden="false" customHeight="true" outlineLevel="0" collapsed="false">
      <c r="A34" s="1" t="n">
        <v>2041</v>
      </c>
      <c r="B34" s="34" t="n">
        <v>68980</v>
      </c>
      <c r="C34" s="34" t="n">
        <v>94507</v>
      </c>
      <c r="D34" s="34" t="n">
        <v>480873</v>
      </c>
      <c r="E34" s="53" t="n">
        <v>9170.6</v>
      </c>
    </row>
    <row r="35" customFormat="false" ht="15" hidden="false" customHeight="true" outlineLevel="0" collapsed="false">
      <c r="A35" s="1" t="n">
        <v>2042</v>
      </c>
      <c r="B35" s="34" t="n">
        <v>84315</v>
      </c>
      <c r="C35" s="34" t="n">
        <v>118461</v>
      </c>
      <c r="D35" s="34" t="n">
        <v>961746</v>
      </c>
      <c r="E35" s="53" t="n">
        <v>11243.7</v>
      </c>
    </row>
    <row r="36" customFormat="false" ht="15" hidden="false" customHeight="true" outlineLevel="0" collapsed="false">
      <c r="A36" s="1" t="n">
        <v>2043</v>
      </c>
      <c r="B36" s="34" t="n">
        <v>99651</v>
      </c>
      <c r="C36" s="34" t="n">
        <v>142414</v>
      </c>
      <c r="D36" s="34" t="n">
        <v>1442618</v>
      </c>
      <c r="E36" s="53" t="n">
        <v>13316.7</v>
      </c>
    </row>
    <row r="37" customFormat="false" ht="15" hidden="false" customHeight="true" outlineLevel="0" collapsed="false">
      <c r="A37" s="1" t="n">
        <v>2044</v>
      </c>
      <c r="B37" s="34" t="n">
        <v>114986</v>
      </c>
      <c r="C37" s="34" t="n">
        <v>166368</v>
      </c>
      <c r="D37" s="34" t="n">
        <v>1923491</v>
      </c>
      <c r="E37" s="53" t="n">
        <v>15389.8</v>
      </c>
    </row>
    <row r="38" customFormat="false" ht="15" hidden="false" customHeight="true" outlineLevel="0" collapsed="false">
      <c r="A38" s="1" t="n">
        <v>2045</v>
      </c>
      <c r="B38" s="34" t="n">
        <v>130321</v>
      </c>
      <c r="C38" s="34" t="n">
        <v>190322</v>
      </c>
      <c r="D38" s="34" t="n">
        <v>2404364</v>
      </c>
      <c r="E38" s="53" t="n">
        <v>17462.9</v>
      </c>
    </row>
    <row r="40" customFormat="false" ht="15" hidden="false" customHeight="true" outlineLevel="0" collapsed="false">
      <c r="A40" s="19" t="s">
        <v>767</v>
      </c>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row>
    <row r="41" customFormat="false" ht="15" hidden="false" customHeight="true" outlineLevel="0" collapsed="false">
      <c r="A41" s="4" t="s">
        <v>768</v>
      </c>
      <c r="B41" s="35" t="n">
        <f aca="false">SUMPRODUCT(E19:E38,1/(1.045^(ROW(E19:E38)-ROW(E19))))</f>
        <v>77340.2285188827</v>
      </c>
    </row>
    <row r="42" customFormat="false" ht="15" hidden="false" customHeight="true" outlineLevel="0" collapsed="false">
      <c r="A42" s="4" t="s">
        <v>769</v>
      </c>
      <c r="B42" s="34" t="n">
        <f aca="false">119818/(1.045^0)+124821.1/(1.045^1)+129825.9/(1.045^2)+134832.3/(1.045^3)+139840.2/(1.045^4)+144839.5/(1.045^5)+149839.8/(1.045^6)+154842.2/(1.045^7)+159845.4/(1.045^8)+160342.4/(1.045^9)+160816.1/(1.045^10)+161289.8/(1.045^11)+161765.5/(1.045^12)+162241/(1.045^13)+162718.2/(1.045^14)+163278.7/(1.045^15)+163841.3/(1.045^16)+164407/(1.045^17)+164974.5/(1.045^18)+165544.9/(1.045^19)</f>
        <v>2026281.64409739</v>
      </c>
    </row>
    <row r="43" customFormat="false" ht="15" hidden="false" customHeight="true" outlineLevel="0" collapsed="false">
      <c r="A43" s="4" t="s">
        <v>770</v>
      </c>
      <c r="B43" s="54" t="n">
        <f aca="false">B41*1000/B42</f>
        <v>38.168548160211</v>
      </c>
    </row>
    <row r="45" customFormat="false" ht="15" hidden="false" customHeight="true" outlineLevel="0" collapsed="false">
      <c r="A45" s="30" t="s">
        <v>781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6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6" min="2" style="1" width="14"/>
  </cols>
  <sheetData>
    <row r="1" customFormat="false" ht="19.5" hidden="false" customHeight="true" outlineLevel="0" collapsed="false">
      <c r="A1" s="2" t="s">
        <v>782</v>
      </c>
    </row>
    <row r="2" customFormat="false" ht="15" hidden="false" customHeight="true" outlineLevel="0" collapsed="false">
      <c r="A2" s="3" t="s">
        <v>783</v>
      </c>
    </row>
    <row r="4" customFormat="false" ht="15" hidden="false" customHeight="true" outlineLevel="0" collapsed="false">
      <c r="A4" s="19" t="s">
        <v>743</v>
      </c>
      <c r="B4" s="20"/>
      <c r="C4" s="20"/>
      <c r="D4" s="20"/>
      <c r="E4" s="20"/>
      <c r="F4" s="20"/>
      <c r="G4" s="20"/>
      <c r="H4" s="20"/>
      <c r="I4" s="20"/>
      <c r="J4" s="20"/>
      <c r="K4" s="20"/>
      <c r="L4" s="20"/>
      <c r="M4" s="20"/>
      <c r="N4" s="20"/>
      <c r="O4" s="20"/>
      <c r="P4" s="20"/>
      <c r="Q4" s="20"/>
      <c r="R4" s="20"/>
      <c r="S4" s="20"/>
      <c r="T4" s="20"/>
      <c r="U4" s="20"/>
      <c r="V4" s="20"/>
      <c r="W4" s="20"/>
      <c r="X4" s="20"/>
      <c r="Y4" s="20"/>
      <c r="Z4" s="20"/>
      <c r="AA4" s="20"/>
    </row>
    <row r="5" customFormat="false" ht="15" hidden="false" customHeight="true" outlineLevel="0" collapsed="false">
      <c r="A5" s="30" t="s">
        <v>784</v>
      </c>
    </row>
    <row r="6" customFormat="false" ht="15" hidden="false" customHeight="true" outlineLevel="0" collapsed="false">
      <c r="A6" s="30" t="s">
        <v>785</v>
      </c>
    </row>
    <row r="7" customFormat="false" ht="15" hidden="false" customHeight="true" outlineLevel="0" collapsed="false">
      <c r="A7" s="30" t="s">
        <v>786</v>
      </c>
    </row>
    <row r="8" customFormat="false" ht="15" hidden="false" customHeight="true" outlineLevel="0" collapsed="false">
      <c r="A8" s="30" t="s">
        <v>787</v>
      </c>
    </row>
    <row r="9" customFormat="false" ht="15" hidden="false" customHeight="true" outlineLevel="0" collapsed="false">
      <c r="A9" s="30" t="s">
        <v>788</v>
      </c>
    </row>
    <row r="10" customFormat="false" ht="15" hidden="false" customHeight="true" outlineLevel="0" collapsed="false">
      <c r="A10" s="30" t="s">
        <v>789</v>
      </c>
    </row>
    <row r="11" customFormat="false" ht="15" hidden="false" customHeight="true" outlineLevel="0" collapsed="false">
      <c r="A11" s="30" t="s">
        <v>790</v>
      </c>
    </row>
    <row r="12" customFormat="false" ht="15" hidden="false" customHeight="true" outlineLevel="0" collapsed="false">
      <c r="A12" s="30" t="s">
        <v>791</v>
      </c>
    </row>
    <row r="13" customFormat="false" ht="15" hidden="false" customHeight="true" outlineLevel="0" collapsed="false">
      <c r="A13" s="30" t="s">
        <v>792</v>
      </c>
    </row>
    <row r="14" customFormat="false" ht="15" hidden="false" customHeight="true" outlineLevel="0" collapsed="false">
      <c r="A14" s="30" t="s">
        <v>793</v>
      </c>
    </row>
    <row r="15" customFormat="false" ht="15" hidden="false" customHeight="true" outlineLevel="0" collapsed="false">
      <c r="A15" s="30" t="s">
        <v>794</v>
      </c>
    </row>
    <row r="16" customFormat="false" ht="15" hidden="false" customHeight="true" outlineLevel="0" collapsed="false">
      <c r="A16" s="30"/>
    </row>
    <row r="17" customFormat="false" ht="15" hidden="false" customHeight="true" outlineLevel="0" collapsed="false">
      <c r="A17" s="30" t="s">
        <v>795</v>
      </c>
    </row>
    <row r="18" customFormat="false" ht="15" hidden="false" customHeight="true" outlineLevel="0" collapsed="false">
      <c r="A18" s="30" t="s">
        <v>796</v>
      </c>
    </row>
    <row r="19" customFormat="false" ht="15" hidden="false" customHeight="true" outlineLevel="0" collapsed="false">
      <c r="A19" s="30" t="s">
        <v>797</v>
      </c>
    </row>
    <row r="20" customFormat="false" ht="15" hidden="false" customHeight="true" outlineLevel="0" collapsed="false">
      <c r="A20" s="30" t="s">
        <v>798</v>
      </c>
    </row>
    <row r="21" customFormat="false" ht="15" hidden="false" customHeight="true" outlineLevel="0" collapsed="false">
      <c r="A21" s="30" t="s">
        <v>799</v>
      </c>
    </row>
    <row r="22" customFormat="false" ht="15" hidden="false" customHeight="true" outlineLevel="0" collapsed="false">
      <c r="A22" s="30" t="s">
        <v>800</v>
      </c>
    </row>
    <row r="23" customFormat="false" ht="15" hidden="false" customHeight="true" outlineLevel="0" collapsed="false">
      <c r="A23" s="30" t="s">
        <v>801</v>
      </c>
    </row>
    <row r="25" customFormat="false" ht="15" hidden="false" customHeight="true" outlineLevel="0" collapsed="false">
      <c r="A25" s="19" t="s">
        <v>802</v>
      </c>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row>
    <row r="26" customFormat="false" ht="15" hidden="false" customHeight="true" outlineLevel="0" collapsed="false">
      <c r="A26" s="4" t="s">
        <v>758</v>
      </c>
      <c r="B26" s="4" t="s">
        <v>759</v>
      </c>
      <c r="C26" s="4" t="s">
        <v>803</v>
      </c>
      <c r="D26" s="4" t="s">
        <v>804</v>
      </c>
      <c r="E26" s="4" t="s">
        <v>805</v>
      </c>
    </row>
    <row r="27" customFormat="false" ht="15" hidden="false" customHeight="true" outlineLevel="0" collapsed="false">
      <c r="A27" s="1" t="n">
        <v>2030</v>
      </c>
      <c r="B27" s="34" t="n">
        <v>10000</v>
      </c>
      <c r="C27" s="34" t="n">
        <v>14137.2</v>
      </c>
      <c r="D27" s="34" t="n">
        <v>76166.2</v>
      </c>
      <c r="E27" s="50" t="n">
        <v>37.56</v>
      </c>
    </row>
    <row r="28" customFormat="false" ht="15" hidden="false" customHeight="true" outlineLevel="0" collapsed="false">
      <c r="A28" s="1" t="n">
        <v>2035</v>
      </c>
      <c r="B28" s="34" t="n">
        <v>16100</v>
      </c>
      <c r="C28" s="34" t="n">
        <v>16758.2</v>
      </c>
      <c r="D28" s="34" t="n">
        <v>87824.5</v>
      </c>
      <c r="E28" s="50" t="n">
        <v>40.6</v>
      </c>
    </row>
    <row r="29" customFormat="false" ht="15" hidden="false" customHeight="true" outlineLevel="0" collapsed="false">
      <c r="A29" s="1" t="n">
        <v>2040</v>
      </c>
      <c r="B29" s="34" t="n">
        <v>16100</v>
      </c>
      <c r="C29" s="34" t="n">
        <v>17351.1</v>
      </c>
      <c r="D29" s="34" t="n">
        <v>92524.5</v>
      </c>
      <c r="E29" s="50" t="n">
        <v>43.64</v>
      </c>
    </row>
    <row r="30" customFormat="false" ht="15" hidden="false" customHeight="true" outlineLevel="0" collapsed="false">
      <c r="A30" s="1" t="s">
        <v>764</v>
      </c>
      <c r="B30" s="34" t="n">
        <v>16100</v>
      </c>
      <c r="C30" s="34" t="n">
        <v>18319.7</v>
      </c>
      <c r="D30" s="34" t="n">
        <v>97473.9</v>
      </c>
      <c r="E30" s="50" t="n">
        <v>47.32</v>
      </c>
    </row>
    <row r="32" customFormat="false" ht="15" hidden="false" customHeight="true" outlineLevel="0" collapsed="false">
      <c r="A32" s="19" t="s">
        <v>806</v>
      </c>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row>
    <row r="33" customFormat="false" ht="15" hidden="false" customHeight="true" outlineLevel="0" collapsed="false">
      <c r="A33" s="4" t="s">
        <v>758</v>
      </c>
      <c r="B33" s="4" t="s">
        <v>759</v>
      </c>
      <c r="C33" s="4" t="s">
        <v>803</v>
      </c>
      <c r="D33" s="4" t="s">
        <v>804</v>
      </c>
      <c r="E33" s="4" t="s">
        <v>766</v>
      </c>
    </row>
    <row r="34" customFormat="false" ht="15" hidden="false" customHeight="true" outlineLevel="0" collapsed="false">
      <c r="A34" s="1" t="n">
        <v>2026</v>
      </c>
      <c r="B34" s="34" t="n">
        <v>0</v>
      </c>
      <c r="C34" s="34" t="n">
        <v>0</v>
      </c>
      <c r="D34" s="34" t="n">
        <v>0</v>
      </c>
      <c r="E34" s="53" t="n">
        <v>0</v>
      </c>
    </row>
    <row r="35" customFormat="false" ht="15" hidden="false" customHeight="true" outlineLevel="0" collapsed="false">
      <c r="A35" s="1" t="n">
        <v>2027</v>
      </c>
      <c r="B35" s="34" t="n">
        <v>2500</v>
      </c>
      <c r="C35" s="34" t="n">
        <v>3534</v>
      </c>
      <c r="D35" s="34" t="n">
        <v>19042</v>
      </c>
      <c r="E35" s="53" t="n">
        <v>1736.2</v>
      </c>
    </row>
    <row r="36" customFormat="false" ht="15" hidden="false" customHeight="true" outlineLevel="0" collapsed="false">
      <c r="A36" s="1" t="n">
        <v>2028</v>
      </c>
      <c r="B36" s="34" t="n">
        <v>5000</v>
      </c>
      <c r="C36" s="34" t="n">
        <v>7068</v>
      </c>
      <c r="D36" s="34" t="n">
        <v>38083</v>
      </c>
      <c r="E36" s="53" t="n">
        <v>3472.3</v>
      </c>
    </row>
    <row r="37" customFormat="false" ht="15" hidden="false" customHeight="true" outlineLevel="0" collapsed="false">
      <c r="A37" s="1" t="n">
        <v>2029</v>
      </c>
      <c r="B37" s="34" t="n">
        <v>7500</v>
      </c>
      <c r="C37" s="34" t="n">
        <v>10603</v>
      </c>
      <c r="D37" s="34" t="n">
        <v>57124</v>
      </c>
      <c r="E37" s="53" t="n">
        <v>5208.5</v>
      </c>
    </row>
    <row r="38" customFormat="false" ht="15" hidden="false" customHeight="true" outlineLevel="0" collapsed="false">
      <c r="A38" s="1" t="n">
        <v>2030</v>
      </c>
      <c r="B38" s="34" t="n">
        <v>10000</v>
      </c>
      <c r="C38" s="34" t="n">
        <v>14137</v>
      </c>
      <c r="D38" s="34" t="n">
        <v>76166</v>
      </c>
      <c r="E38" s="53" t="n">
        <v>6944.7</v>
      </c>
    </row>
    <row r="39" customFormat="false" ht="15" hidden="false" customHeight="true" outlineLevel="0" collapsed="false">
      <c r="A39" s="1" t="n">
        <v>2031</v>
      </c>
      <c r="B39" s="34" t="n">
        <v>11220</v>
      </c>
      <c r="C39" s="34" t="n">
        <v>14661</v>
      </c>
      <c r="D39" s="34" t="n">
        <v>78498</v>
      </c>
      <c r="E39" s="53" t="n">
        <v>7360.2</v>
      </c>
    </row>
    <row r="40" customFormat="false" ht="15" hidden="false" customHeight="true" outlineLevel="0" collapsed="false">
      <c r="A40" s="1" t="n">
        <v>2032</v>
      </c>
      <c r="B40" s="34" t="n">
        <v>12440</v>
      </c>
      <c r="C40" s="34" t="n">
        <v>15185</v>
      </c>
      <c r="D40" s="34" t="n">
        <v>80830</v>
      </c>
      <c r="E40" s="53" t="n">
        <v>7775.7</v>
      </c>
    </row>
    <row r="41" customFormat="false" ht="15" hidden="false" customHeight="true" outlineLevel="0" collapsed="false">
      <c r="A41" s="1" t="n">
        <v>2033</v>
      </c>
      <c r="B41" s="34" t="n">
        <v>13660</v>
      </c>
      <c r="C41" s="34" t="n">
        <v>15710</v>
      </c>
      <c r="D41" s="34" t="n">
        <v>83161</v>
      </c>
      <c r="E41" s="53" t="n">
        <v>8191.1</v>
      </c>
    </row>
    <row r="42" customFormat="false" ht="15" hidden="false" customHeight="true" outlineLevel="0" collapsed="false">
      <c r="A42" s="1" t="n">
        <v>2034</v>
      </c>
      <c r="B42" s="34" t="n">
        <v>14880</v>
      </c>
      <c r="C42" s="34" t="n">
        <v>16234</v>
      </c>
      <c r="D42" s="34" t="n">
        <v>85493</v>
      </c>
      <c r="E42" s="53" t="n">
        <v>8606.6</v>
      </c>
    </row>
    <row r="43" customFormat="false" ht="15" hidden="false" customHeight="true" outlineLevel="0" collapsed="false">
      <c r="A43" s="1" t="n">
        <v>2035</v>
      </c>
      <c r="B43" s="34" t="n">
        <v>16100</v>
      </c>
      <c r="C43" s="34" t="n">
        <v>16758</v>
      </c>
      <c r="D43" s="34" t="n">
        <v>87825</v>
      </c>
      <c r="E43" s="53" t="n">
        <v>9022.1</v>
      </c>
    </row>
    <row r="44" customFormat="false" ht="15" hidden="false" customHeight="true" outlineLevel="0" collapsed="false">
      <c r="A44" s="1" t="n">
        <v>2036</v>
      </c>
      <c r="B44" s="34" t="n">
        <v>16100</v>
      </c>
      <c r="C44" s="34" t="n">
        <v>16877</v>
      </c>
      <c r="D44" s="34" t="n">
        <v>88765</v>
      </c>
      <c r="E44" s="53" t="n">
        <v>9146.3</v>
      </c>
    </row>
    <row r="45" customFormat="false" ht="15" hidden="false" customHeight="true" outlineLevel="0" collapsed="false">
      <c r="A45" s="1" t="n">
        <v>2037</v>
      </c>
      <c r="B45" s="34" t="n">
        <v>16100</v>
      </c>
      <c r="C45" s="34" t="n">
        <v>16995</v>
      </c>
      <c r="D45" s="34" t="n">
        <v>89705</v>
      </c>
      <c r="E45" s="53" t="n">
        <v>9270.4</v>
      </c>
    </row>
    <row r="46" customFormat="false" ht="15" hidden="false" customHeight="true" outlineLevel="0" collapsed="false">
      <c r="A46" s="1" t="n">
        <v>2038</v>
      </c>
      <c r="B46" s="34" t="n">
        <v>16100</v>
      </c>
      <c r="C46" s="34" t="n">
        <v>17114</v>
      </c>
      <c r="D46" s="34" t="n">
        <v>90645</v>
      </c>
      <c r="E46" s="53" t="n">
        <v>9394.6</v>
      </c>
    </row>
    <row r="47" customFormat="false" ht="15" hidden="false" customHeight="true" outlineLevel="0" collapsed="false">
      <c r="A47" s="1" t="n">
        <v>2039</v>
      </c>
      <c r="B47" s="34" t="n">
        <v>16100</v>
      </c>
      <c r="C47" s="34" t="n">
        <v>17232</v>
      </c>
      <c r="D47" s="34" t="n">
        <v>91585</v>
      </c>
      <c r="E47" s="53" t="n">
        <v>9518.7</v>
      </c>
    </row>
    <row r="48" customFormat="false" ht="15" hidden="false" customHeight="true" outlineLevel="0" collapsed="false">
      <c r="A48" s="1" t="n">
        <v>2040</v>
      </c>
      <c r="B48" s="34" t="n">
        <v>16100</v>
      </c>
      <c r="C48" s="34" t="n">
        <v>17351</v>
      </c>
      <c r="D48" s="34" t="n">
        <v>92525</v>
      </c>
      <c r="E48" s="53" t="n">
        <v>9642.9</v>
      </c>
    </row>
    <row r="49" customFormat="false" ht="15" hidden="false" customHeight="true" outlineLevel="0" collapsed="false">
      <c r="A49" s="1" t="n">
        <v>2041</v>
      </c>
      <c r="B49" s="34" t="n">
        <v>16100</v>
      </c>
      <c r="C49" s="34" t="n">
        <v>17545</v>
      </c>
      <c r="D49" s="34" t="n">
        <v>93515</v>
      </c>
      <c r="E49" s="53" t="n">
        <v>9781.6</v>
      </c>
    </row>
    <row r="50" customFormat="false" ht="15" hidden="false" customHeight="true" outlineLevel="0" collapsed="false">
      <c r="A50" s="1" t="n">
        <v>2042</v>
      </c>
      <c r="B50" s="34" t="n">
        <v>16100</v>
      </c>
      <c r="C50" s="34" t="n">
        <v>17739</v>
      </c>
      <c r="D50" s="34" t="n">
        <v>94505</v>
      </c>
      <c r="E50" s="53" t="n">
        <v>9920.3</v>
      </c>
    </row>
    <row r="51" customFormat="false" ht="15" hidden="false" customHeight="true" outlineLevel="0" collapsed="false">
      <c r="A51" s="1" t="n">
        <v>2043</v>
      </c>
      <c r="B51" s="34" t="n">
        <v>16100</v>
      </c>
      <c r="C51" s="34" t="n">
        <v>17932</v>
      </c>
      <c r="D51" s="34" t="n">
        <v>95494</v>
      </c>
      <c r="E51" s="53" t="n">
        <v>10059.1</v>
      </c>
    </row>
    <row r="52" customFormat="false" ht="15" hidden="false" customHeight="true" outlineLevel="0" collapsed="false">
      <c r="A52" s="1" t="n">
        <v>2044</v>
      </c>
      <c r="B52" s="34" t="n">
        <v>16100</v>
      </c>
      <c r="C52" s="34" t="n">
        <v>18126</v>
      </c>
      <c r="D52" s="34" t="n">
        <v>96484</v>
      </c>
      <c r="E52" s="53" t="n">
        <v>10197.8</v>
      </c>
    </row>
    <row r="53" customFormat="false" ht="15" hidden="false" customHeight="true" outlineLevel="0" collapsed="false">
      <c r="A53" s="1" t="n">
        <v>2045</v>
      </c>
      <c r="B53" s="34" t="n">
        <v>16100</v>
      </c>
      <c r="C53" s="34" t="n">
        <v>18320</v>
      </c>
      <c r="D53" s="34" t="n">
        <v>97474</v>
      </c>
      <c r="E53" s="53" t="n">
        <v>10336.5</v>
      </c>
    </row>
    <row r="55" customFormat="false" ht="15" hidden="false" customHeight="true" outlineLevel="0" collapsed="false">
      <c r="A55" s="19" t="s">
        <v>767</v>
      </c>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row>
    <row r="56" customFormat="false" ht="15" hidden="false" customHeight="true" outlineLevel="0" collapsed="false">
      <c r="A56" s="4" t="s">
        <v>768</v>
      </c>
      <c r="B56" s="35" t="n">
        <f aca="false">SUMPRODUCT(E34:E53,1/(1.045^(ROW(E34:E53)-ROW(E34))))</f>
        <v>96783.5112475824</v>
      </c>
    </row>
    <row r="57" customFormat="false" ht="15" hidden="false" customHeight="true" outlineLevel="0" collapsed="false">
      <c r="A57" s="4" t="s">
        <v>769</v>
      </c>
      <c r="B57" s="34" t="n">
        <f aca="false">119818/(1.045^0)+125136/(1.045^1)+130462/(1.045^2)+135796/(1.045^3)+141138/(1.045^4)+146489/(1.045^5)+151848/(1.045^6)+157216/(1.045^7)+162592/(1.045^8)+163469/(1.045^9)+164355/(1.045^10)+165249/(1.045^11)+166153/(1.045^12)+167065/(1.045^13)+167987/(1.045^14)+168918/(1.045^15)+169858/(1.045^16)+170808/(1.045^17)+171767/(1.045^18)+172736/(1.045^19)</f>
        <v>2065725.62539457</v>
      </c>
    </row>
    <row r="58" customFormat="false" ht="15" hidden="false" customHeight="true" outlineLevel="0" collapsed="false">
      <c r="A58" s="4" t="s">
        <v>807</v>
      </c>
      <c r="B58" s="54" t="n">
        <f aca="false">B56*1000/B57</f>
        <v>46.8520649876219</v>
      </c>
    </row>
    <row r="60" customFormat="false" ht="15" hidden="false" customHeight="true" outlineLevel="0" collapsed="false">
      <c r="A60" s="30" t="s">
        <v>808</v>
      </c>
    </row>
    <row r="61" customFormat="false" ht="15" hidden="false" customHeight="true" outlineLevel="0" collapsed="false">
      <c r="A61" s="30" t="s">
        <v>809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6" min="2" style="1" width="14"/>
  </cols>
  <sheetData>
    <row r="1" customFormat="false" ht="19.5" hidden="false" customHeight="true" outlineLevel="0" collapsed="false">
      <c r="A1" s="2" t="s">
        <v>810</v>
      </c>
    </row>
    <row r="2" customFormat="false" ht="15" hidden="false" customHeight="true" outlineLevel="0" collapsed="false">
      <c r="A2" s="3" t="s">
        <v>811</v>
      </c>
    </row>
    <row r="4" customFormat="false" ht="15" hidden="false" customHeight="true" outlineLevel="0" collapsed="false">
      <c r="A4" s="19" t="s">
        <v>743</v>
      </c>
      <c r="B4" s="20"/>
      <c r="C4" s="20"/>
      <c r="D4" s="20"/>
      <c r="E4" s="20"/>
      <c r="F4" s="20"/>
      <c r="G4" s="20"/>
      <c r="H4" s="20"/>
      <c r="I4" s="20"/>
      <c r="J4" s="20"/>
      <c r="K4" s="20"/>
      <c r="L4" s="20"/>
      <c r="M4" s="20"/>
      <c r="N4" s="20"/>
      <c r="O4" s="20"/>
      <c r="P4" s="20"/>
      <c r="Q4" s="20"/>
      <c r="R4" s="20"/>
      <c r="S4" s="20"/>
      <c r="T4" s="20"/>
      <c r="U4" s="20"/>
      <c r="V4" s="20"/>
      <c r="W4" s="20"/>
      <c r="X4" s="20"/>
      <c r="Y4" s="20"/>
      <c r="Z4" s="20"/>
      <c r="AA4" s="20"/>
    </row>
    <row r="5" customFormat="false" ht="15" hidden="false" customHeight="true" outlineLevel="0" collapsed="false">
      <c r="A5" s="30" t="s">
        <v>812</v>
      </c>
    </row>
    <row r="6" customFormat="false" ht="15" hidden="false" customHeight="true" outlineLevel="0" collapsed="false">
      <c r="A6" s="30" t="s">
        <v>813</v>
      </c>
    </row>
    <row r="7" customFormat="false" ht="15" hidden="false" customHeight="true" outlineLevel="0" collapsed="false">
      <c r="A7" s="30" t="s">
        <v>814</v>
      </c>
    </row>
    <row r="8" customFormat="false" ht="15" hidden="false" customHeight="true" outlineLevel="0" collapsed="false">
      <c r="A8" s="30" t="s">
        <v>815</v>
      </c>
    </row>
    <row r="9" customFormat="false" ht="15" hidden="false" customHeight="true" outlineLevel="0" collapsed="false">
      <c r="A9" s="30" t="s">
        <v>816</v>
      </c>
    </row>
    <row r="10" customFormat="false" ht="15" hidden="false" customHeight="true" outlineLevel="0" collapsed="false">
      <c r="A10" s="30"/>
    </row>
    <row r="11" customFormat="false" ht="15" hidden="false" customHeight="true" outlineLevel="0" collapsed="false">
      <c r="A11" s="30" t="s">
        <v>817</v>
      </c>
    </row>
    <row r="12" customFormat="false" ht="15" hidden="false" customHeight="true" outlineLevel="0" collapsed="false">
      <c r="A12" s="30" t="s">
        <v>818</v>
      </c>
    </row>
    <row r="13" customFormat="false" ht="15" hidden="false" customHeight="true" outlineLevel="0" collapsed="false">
      <c r="A13" s="30" t="s">
        <v>819</v>
      </c>
    </row>
    <row r="14" customFormat="false" ht="15" hidden="false" customHeight="true" outlineLevel="0" collapsed="false">
      <c r="A14" s="30" t="s">
        <v>820</v>
      </c>
    </row>
    <row r="15" customFormat="false" ht="15" hidden="false" customHeight="true" outlineLevel="0" collapsed="false">
      <c r="A15" s="30" t="s">
        <v>821</v>
      </c>
    </row>
    <row r="17" customFormat="false" ht="15" hidden="false" customHeight="true" outlineLevel="0" collapsed="false">
      <c r="A17" s="19" t="s">
        <v>757</v>
      </c>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row>
    <row r="18" customFormat="false" ht="15" hidden="false" customHeight="true" outlineLevel="0" collapsed="false">
      <c r="A18" s="4" t="s">
        <v>758</v>
      </c>
      <c r="B18" s="4" t="s">
        <v>759</v>
      </c>
      <c r="C18" s="4" t="s">
        <v>760</v>
      </c>
      <c r="D18" s="4" t="s">
        <v>761</v>
      </c>
      <c r="E18" s="4" t="s">
        <v>762</v>
      </c>
      <c r="F18" s="4" t="s">
        <v>763</v>
      </c>
      <c r="G18" s="4" t="s">
        <v>822</v>
      </c>
    </row>
    <row r="19" customFormat="false" ht="15" hidden="false" customHeight="true" outlineLevel="0" collapsed="false">
      <c r="A19" s="1" t="n">
        <v>2030</v>
      </c>
      <c r="B19" s="34" t="n">
        <v>33224</v>
      </c>
      <c r="C19" s="34" t="n">
        <v>19446</v>
      </c>
      <c r="D19" s="34" t="n">
        <v>138942</v>
      </c>
      <c r="E19" s="34" t="n">
        <v>0</v>
      </c>
      <c r="F19" s="52" t="n">
        <v>46.15</v>
      </c>
      <c r="G19" s="51" t="s">
        <v>823</v>
      </c>
    </row>
    <row r="20" customFormat="false" ht="15" hidden="false" customHeight="true" outlineLevel="0" collapsed="false">
      <c r="A20" s="1" t="n">
        <v>2035</v>
      </c>
      <c r="B20" s="34" t="n">
        <v>44778</v>
      </c>
      <c r="C20" s="34" t="n">
        <v>35783</v>
      </c>
      <c r="D20" s="34" t="n">
        <v>203085</v>
      </c>
      <c r="E20" s="34" t="n">
        <v>0</v>
      </c>
      <c r="F20" s="52" t="n">
        <v>33.56</v>
      </c>
      <c r="G20" s="51" t="s">
        <v>824</v>
      </c>
    </row>
    <row r="21" customFormat="false" ht="15" hidden="false" customHeight="true" outlineLevel="0" collapsed="false">
      <c r="A21" s="1" t="n">
        <v>2040</v>
      </c>
      <c r="B21" s="34" t="n">
        <v>53645</v>
      </c>
      <c r="C21" s="34" t="n">
        <v>70553</v>
      </c>
      <c r="D21" s="34" t="n">
        <v>247623</v>
      </c>
      <c r="E21" s="34" t="n">
        <v>0</v>
      </c>
      <c r="F21" s="52" t="n">
        <v>17.25</v>
      </c>
      <c r="G21" s="51" t="s">
        <v>825</v>
      </c>
    </row>
    <row r="22" customFormat="false" ht="15" hidden="false" customHeight="true" outlineLevel="0" collapsed="false">
      <c r="A22" s="1" t="s">
        <v>826</v>
      </c>
      <c r="B22" s="34" t="n">
        <v>98499</v>
      </c>
      <c r="C22" s="34" t="n">
        <v>256668</v>
      </c>
      <c r="D22" s="34" t="n">
        <v>464509</v>
      </c>
      <c r="E22" s="34" t="n">
        <v>131712</v>
      </c>
      <c r="F22" s="52" t="n">
        <v>5</v>
      </c>
      <c r="G22" s="51" t="s">
        <v>827</v>
      </c>
    </row>
    <row r="24" customFormat="false" ht="15" hidden="false" customHeight="true" outlineLevel="0" collapsed="false">
      <c r="A24" s="19" t="s">
        <v>780</v>
      </c>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row>
    <row r="25" customFormat="false" ht="15" hidden="false" customHeight="true" outlineLevel="0" collapsed="false">
      <c r="A25" s="4" t="s">
        <v>758</v>
      </c>
      <c r="B25" s="4" t="s">
        <v>759</v>
      </c>
      <c r="C25" s="4" t="s">
        <v>760</v>
      </c>
      <c r="D25" s="4" t="s">
        <v>762</v>
      </c>
      <c r="E25" s="4" t="s">
        <v>766</v>
      </c>
    </row>
    <row r="26" customFormat="false" ht="15" hidden="false" customHeight="true" outlineLevel="0" collapsed="false">
      <c r="A26" s="1" t="n">
        <v>2026</v>
      </c>
      <c r="B26" s="34" t="n">
        <v>0</v>
      </c>
      <c r="C26" s="34" t="n">
        <v>0</v>
      </c>
      <c r="D26" s="34" t="n">
        <v>0</v>
      </c>
      <c r="E26" s="53" t="n">
        <v>0</v>
      </c>
    </row>
    <row r="27" customFormat="false" ht="15" hidden="false" customHeight="true" outlineLevel="0" collapsed="false">
      <c r="A27" s="1" t="n">
        <v>2027</v>
      </c>
      <c r="B27" s="34" t="n">
        <v>8306</v>
      </c>
      <c r="C27" s="34" t="n">
        <v>4862</v>
      </c>
      <c r="D27" s="34" t="n">
        <v>0</v>
      </c>
      <c r="E27" s="53" t="n">
        <v>963.3</v>
      </c>
    </row>
    <row r="28" customFormat="false" ht="15" hidden="false" customHeight="true" outlineLevel="0" collapsed="false">
      <c r="A28" s="1" t="n">
        <v>2028</v>
      </c>
      <c r="B28" s="34" t="n">
        <v>16612</v>
      </c>
      <c r="C28" s="34" t="n">
        <v>9723</v>
      </c>
      <c r="D28" s="34" t="n">
        <v>0</v>
      </c>
      <c r="E28" s="53" t="n">
        <v>1926.5</v>
      </c>
    </row>
    <row r="29" customFormat="false" ht="15" hidden="false" customHeight="true" outlineLevel="0" collapsed="false">
      <c r="A29" s="1" t="n">
        <v>2029</v>
      </c>
      <c r="B29" s="34" t="n">
        <v>24918</v>
      </c>
      <c r="C29" s="34" t="n">
        <v>14584</v>
      </c>
      <c r="D29" s="34" t="n">
        <v>0</v>
      </c>
      <c r="E29" s="53" t="n">
        <v>2889.8</v>
      </c>
    </row>
    <row r="30" customFormat="false" ht="15" hidden="false" customHeight="true" outlineLevel="0" collapsed="false">
      <c r="A30" s="1" t="n">
        <v>2030</v>
      </c>
      <c r="B30" s="34" t="n">
        <v>33224</v>
      </c>
      <c r="C30" s="34" t="n">
        <v>19446</v>
      </c>
      <c r="D30" s="34" t="n">
        <v>0</v>
      </c>
      <c r="E30" s="53" t="n">
        <v>3853.1</v>
      </c>
    </row>
    <row r="31" customFormat="false" ht="15" hidden="false" customHeight="true" outlineLevel="0" collapsed="false">
      <c r="A31" s="1" t="n">
        <v>2031</v>
      </c>
      <c r="B31" s="34" t="n">
        <v>35535</v>
      </c>
      <c r="C31" s="34" t="n">
        <v>22713</v>
      </c>
      <c r="D31" s="34" t="n">
        <v>0</v>
      </c>
      <c r="E31" s="53" t="n">
        <v>4244.4</v>
      </c>
    </row>
    <row r="32" customFormat="false" ht="15" hidden="false" customHeight="true" outlineLevel="0" collapsed="false">
      <c r="A32" s="1" t="n">
        <v>2032</v>
      </c>
      <c r="B32" s="34" t="n">
        <v>37846</v>
      </c>
      <c r="C32" s="34" t="n">
        <v>25981</v>
      </c>
      <c r="D32" s="34" t="n">
        <v>0</v>
      </c>
      <c r="E32" s="53" t="n">
        <v>4635.7</v>
      </c>
    </row>
    <row r="33" customFormat="false" ht="15" hidden="false" customHeight="true" outlineLevel="0" collapsed="false">
      <c r="A33" s="1" t="n">
        <v>2033</v>
      </c>
      <c r="B33" s="34" t="n">
        <v>40156</v>
      </c>
      <c r="C33" s="34" t="n">
        <v>29248</v>
      </c>
      <c r="D33" s="34" t="n">
        <v>0</v>
      </c>
      <c r="E33" s="53" t="n">
        <v>5026.9</v>
      </c>
    </row>
    <row r="34" customFormat="false" ht="15" hidden="false" customHeight="true" outlineLevel="0" collapsed="false">
      <c r="A34" s="1" t="n">
        <v>2034</v>
      </c>
      <c r="B34" s="34" t="n">
        <v>42467</v>
      </c>
      <c r="C34" s="34" t="n">
        <v>32516</v>
      </c>
      <c r="D34" s="34" t="n">
        <v>0</v>
      </c>
      <c r="E34" s="53" t="n">
        <v>5418.2</v>
      </c>
    </row>
    <row r="35" customFormat="false" ht="15" hidden="false" customHeight="true" outlineLevel="0" collapsed="false">
      <c r="A35" s="1" t="n">
        <v>2035</v>
      </c>
      <c r="B35" s="34" t="n">
        <v>44778</v>
      </c>
      <c r="C35" s="34" t="n">
        <v>35783</v>
      </c>
      <c r="D35" s="34" t="n">
        <v>0</v>
      </c>
      <c r="E35" s="53" t="n">
        <v>5809.5</v>
      </c>
    </row>
    <row r="36" customFormat="false" ht="15" hidden="false" customHeight="true" outlineLevel="0" collapsed="false">
      <c r="A36" s="1" t="n">
        <v>2036</v>
      </c>
      <c r="B36" s="34" t="n">
        <v>46551</v>
      </c>
      <c r="C36" s="34" t="n">
        <v>42737</v>
      </c>
      <c r="D36" s="34" t="n">
        <v>0</v>
      </c>
      <c r="E36" s="53" t="n">
        <v>6067.1</v>
      </c>
    </row>
    <row r="37" customFormat="false" ht="15" hidden="false" customHeight="true" outlineLevel="0" collapsed="false">
      <c r="A37" s="1" t="n">
        <v>2037</v>
      </c>
      <c r="B37" s="34" t="n">
        <v>48325</v>
      </c>
      <c r="C37" s="34" t="n">
        <v>49691</v>
      </c>
      <c r="D37" s="34" t="n">
        <v>0</v>
      </c>
      <c r="E37" s="53" t="n">
        <v>6324.7</v>
      </c>
    </row>
    <row r="38" customFormat="false" ht="15" hidden="false" customHeight="true" outlineLevel="0" collapsed="false">
      <c r="A38" s="1" t="n">
        <v>2038</v>
      </c>
      <c r="B38" s="34" t="n">
        <v>50098</v>
      </c>
      <c r="C38" s="34" t="n">
        <v>56645</v>
      </c>
      <c r="D38" s="34" t="n">
        <v>0</v>
      </c>
      <c r="E38" s="53" t="n">
        <v>6582.3</v>
      </c>
    </row>
    <row r="39" customFormat="false" ht="15" hidden="false" customHeight="true" outlineLevel="0" collapsed="false">
      <c r="A39" s="1" t="n">
        <v>2039</v>
      </c>
      <c r="B39" s="34" t="n">
        <v>51872</v>
      </c>
      <c r="C39" s="34" t="n">
        <v>63599</v>
      </c>
      <c r="D39" s="34" t="n">
        <v>0</v>
      </c>
      <c r="E39" s="53" t="n">
        <v>6839.9</v>
      </c>
    </row>
    <row r="40" customFormat="false" ht="15" hidden="false" customHeight="true" outlineLevel="0" collapsed="false">
      <c r="A40" s="1" t="n">
        <v>2040</v>
      </c>
      <c r="B40" s="34" t="n">
        <v>53645</v>
      </c>
      <c r="C40" s="34" t="n">
        <v>70553</v>
      </c>
      <c r="D40" s="34" t="n">
        <v>0</v>
      </c>
      <c r="E40" s="53" t="n">
        <v>7097.5</v>
      </c>
    </row>
    <row r="41" customFormat="false" ht="15" hidden="false" customHeight="true" outlineLevel="0" collapsed="false">
      <c r="A41" s="1" t="n">
        <v>2041</v>
      </c>
      <c r="B41" s="34" t="n">
        <v>68980</v>
      </c>
      <c r="C41" s="34" t="n">
        <v>94507</v>
      </c>
      <c r="D41" s="34" t="n">
        <v>480873</v>
      </c>
      <c r="E41" s="53" t="n">
        <v>9170.6</v>
      </c>
    </row>
    <row r="42" customFormat="false" ht="15" hidden="false" customHeight="true" outlineLevel="0" collapsed="false">
      <c r="A42" s="1" t="n">
        <v>2042</v>
      </c>
      <c r="B42" s="34" t="n">
        <v>84315</v>
      </c>
      <c r="C42" s="34" t="n">
        <v>118461</v>
      </c>
      <c r="D42" s="34" t="n">
        <v>961746</v>
      </c>
      <c r="E42" s="53" t="n">
        <v>11243.7</v>
      </c>
    </row>
    <row r="43" customFormat="false" ht="15" hidden="false" customHeight="true" outlineLevel="0" collapsed="false">
      <c r="A43" s="1" t="n">
        <v>2043</v>
      </c>
      <c r="B43" s="34" t="n">
        <v>99651</v>
      </c>
      <c r="C43" s="34" t="n">
        <v>142414</v>
      </c>
      <c r="D43" s="34" t="n">
        <v>1442618</v>
      </c>
      <c r="E43" s="53" t="n">
        <v>13316.7</v>
      </c>
    </row>
    <row r="44" customFormat="false" ht="15" hidden="false" customHeight="true" outlineLevel="0" collapsed="false">
      <c r="A44" s="1" t="n">
        <v>2044</v>
      </c>
      <c r="B44" s="34" t="n">
        <v>114986</v>
      </c>
      <c r="C44" s="34" t="n">
        <v>166368</v>
      </c>
      <c r="D44" s="34" t="n">
        <v>1923491</v>
      </c>
      <c r="E44" s="53" t="n">
        <v>15389.8</v>
      </c>
    </row>
    <row r="45" customFormat="false" ht="15" hidden="false" customHeight="true" outlineLevel="0" collapsed="false">
      <c r="A45" s="1" t="n">
        <v>2045</v>
      </c>
      <c r="B45" s="34" t="n">
        <v>98499</v>
      </c>
      <c r="C45" s="34" t="n">
        <v>256668</v>
      </c>
      <c r="D45" s="34" t="n">
        <v>131712</v>
      </c>
      <c r="E45" s="53" t="n">
        <v>11061.2</v>
      </c>
    </row>
    <row r="47" customFormat="false" ht="15" hidden="false" customHeight="true" outlineLevel="0" collapsed="false">
      <c r="A47" s="19" t="s">
        <v>767</v>
      </c>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row>
    <row r="48" customFormat="false" ht="15" hidden="false" customHeight="true" outlineLevel="0" collapsed="false">
      <c r="A48" s="4" t="s">
        <v>768</v>
      </c>
      <c r="B48" s="35" t="n">
        <f aca="false">SUMPRODUCT(E26:E45,1/(1.045^(ROW(E26:E45)-ROW(E26))))</f>
        <v>74566.3604602719</v>
      </c>
    </row>
    <row r="49" customFormat="false" ht="15" hidden="false" customHeight="true" outlineLevel="0" collapsed="false">
      <c r="A49" s="4" t="s">
        <v>769</v>
      </c>
      <c r="B49" s="34" t="n">
        <f aca="false">119818/(1.045^0)+124821.1/(1.045^1)+129825.9/(1.045^2)+134832.3/(1.045^3)+139840.2/(1.045^4)+144839.5/(1.045^5)+149839.8/(1.045^6)+154842.2/(1.045^7)+159845.4/(1.045^8)+160342.4/(1.045^9)+160816.1/(1.045^10)+161289.8/(1.045^11)+161765.5/(1.045^12)+162241/(1.045^13)+162718.2/(1.045^14)+163278.7/(1.045^15)+163841.3/(1.045^16)+164407/(1.045^17)+164974.5/(1.045^18)+165544.9/(1.045^19)</f>
        <v>2026281.64409739</v>
      </c>
    </row>
    <row r="50" customFormat="false" ht="15" hidden="false" customHeight="true" outlineLevel="0" collapsed="false">
      <c r="A50" s="4" t="s">
        <v>828</v>
      </c>
      <c r="B50" s="54" t="n">
        <f aca="false">B48*1000/B49</f>
        <v>36.7996031931127</v>
      </c>
    </row>
    <row r="52" customFormat="false" ht="15" hidden="false" customHeight="true" outlineLevel="0" collapsed="false">
      <c r="A52" s="30" t="s">
        <v>829</v>
      </c>
    </row>
    <row r="53" customFormat="false" ht="15" hidden="false" customHeight="true" outlineLevel="0" collapsed="false">
      <c r="A53" s="30" t="s">
        <v>830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4"/>
  </cols>
  <sheetData>
    <row r="1" customFormat="false" ht="19.5" hidden="false" customHeight="true" outlineLevel="0" collapsed="false">
      <c r="A1" s="2" t="s">
        <v>831</v>
      </c>
    </row>
    <row r="2" customFormat="false" ht="15" hidden="false" customHeight="true" outlineLevel="0" collapsed="false">
      <c r="A2" s="3" t="s">
        <v>832</v>
      </c>
    </row>
    <row r="4" customFormat="false" ht="15" hidden="false" customHeight="true" outlineLevel="0" collapsed="false">
      <c r="A4" s="55" t="s">
        <v>833</v>
      </c>
    </row>
    <row r="5" customFormat="false" ht="15" hidden="false" customHeight="true" outlineLevel="0" collapsed="false">
      <c r="A5" s="56" t="s">
        <v>834</v>
      </c>
    </row>
    <row r="6" customFormat="false" ht="15" hidden="false" customHeight="true" outlineLevel="0" collapsed="false">
      <c r="A6" s="56" t="s">
        <v>835</v>
      </c>
    </row>
    <row r="7" customFormat="false" ht="15" hidden="false" customHeight="true" outlineLevel="0" collapsed="false">
      <c r="A7" s="56" t="s">
        <v>836</v>
      </c>
    </row>
    <row r="8" customFormat="false" ht="15" hidden="false" customHeight="true" outlineLevel="0" collapsed="false">
      <c r="A8" s="56" t="s">
        <v>837</v>
      </c>
    </row>
    <row r="10" customFormat="false" ht="15" hidden="false" customHeight="true" outlineLevel="0" collapsed="false">
      <c r="A10" s="19" t="s">
        <v>757</v>
      </c>
    </row>
    <row r="11" customFormat="false" ht="15" hidden="false" customHeight="true" outlineLevel="0" collapsed="false">
      <c r="A11" s="4" t="s">
        <v>758</v>
      </c>
      <c r="B11" s="4" t="s">
        <v>759</v>
      </c>
      <c r="C11" s="4" t="s">
        <v>760</v>
      </c>
      <c r="D11" s="4" t="s">
        <v>761</v>
      </c>
      <c r="E11" s="4" t="s">
        <v>762</v>
      </c>
      <c r="F11" s="4" t="s">
        <v>763</v>
      </c>
    </row>
    <row r="12" customFormat="false" ht="15" hidden="false" customHeight="true" outlineLevel="0" collapsed="false">
      <c r="A12" s="1" t="n">
        <v>2030</v>
      </c>
      <c r="B12" s="1" t="n">
        <v>38211</v>
      </c>
      <c r="C12" s="1" t="n">
        <v>23937</v>
      </c>
      <c r="D12" s="1" t="n">
        <v>545832</v>
      </c>
      <c r="E12" s="1" t="n">
        <v>6309</v>
      </c>
      <c r="F12" s="1" t="n">
        <v>46.14</v>
      </c>
    </row>
    <row r="13" customFormat="false" ht="15" hidden="false" customHeight="true" outlineLevel="0" collapsed="false">
      <c r="A13" s="1" t="n">
        <v>2035</v>
      </c>
      <c r="B13" s="1" t="n">
        <v>65407</v>
      </c>
      <c r="C13" s="1" t="n">
        <v>59426</v>
      </c>
      <c r="D13" s="1" t="n">
        <v>1327478</v>
      </c>
      <c r="E13" s="1" t="n">
        <v>10484</v>
      </c>
      <c r="F13" s="1" t="n">
        <v>33.53</v>
      </c>
    </row>
    <row r="14" customFormat="false" ht="15" hidden="false" customHeight="true" outlineLevel="0" collapsed="false">
      <c r="A14" s="1" t="n">
        <v>2040</v>
      </c>
      <c r="B14" s="1" t="n">
        <v>68259</v>
      </c>
      <c r="C14" s="1" t="n">
        <v>66607</v>
      </c>
      <c r="D14" s="1" t="n">
        <v>1299068</v>
      </c>
      <c r="E14" s="1" t="n">
        <v>10835.4</v>
      </c>
      <c r="F14" s="1" t="n">
        <v>17.21</v>
      </c>
    </row>
    <row r="15" customFormat="false" ht="15" hidden="false" customHeight="true" outlineLevel="0" collapsed="false">
      <c r="A15" s="1" t="s">
        <v>764</v>
      </c>
      <c r="B15" s="1" t="n">
        <v>90140</v>
      </c>
      <c r="C15" s="1" t="n">
        <v>124170</v>
      </c>
      <c r="D15" s="1" t="n">
        <v>1703443</v>
      </c>
      <c r="E15" s="1" t="n">
        <v>13986.9</v>
      </c>
      <c r="F15" s="1" t="n">
        <v>0.1</v>
      </c>
    </row>
    <row r="17" customFormat="false" ht="15" hidden="false" customHeight="true" outlineLevel="0" collapsed="false">
      <c r="A17" s="19" t="s">
        <v>780</v>
      </c>
    </row>
    <row r="18" customFormat="false" ht="15" hidden="false" customHeight="true" outlineLevel="0" collapsed="false">
      <c r="A18" s="4" t="s">
        <v>758</v>
      </c>
      <c r="B18" s="4" t="s">
        <v>759</v>
      </c>
      <c r="C18" s="4" t="s">
        <v>760</v>
      </c>
      <c r="D18" s="4" t="s">
        <v>762</v>
      </c>
      <c r="E18" s="4" t="s">
        <v>766</v>
      </c>
    </row>
    <row r="19" customFormat="false" ht="15" hidden="false" customHeight="true" outlineLevel="0" collapsed="false">
      <c r="A19" s="1" t="n">
        <v>2026</v>
      </c>
      <c r="B19" s="1" t="n">
        <v>0</v>
      </c>
      <c r="C19" s="1" t="n">
        <v>0</v>
      </c>
      <c r="D19" s="1" t="n">
        <v>0</v>
      </c>
      <c r="E19" s="1" t="n">
        <v>0</v>
      </c>
    </row>
    <row r="20" customFormat="false" ht="15" hidden="false" customHeight="true" outlineLevel="0" collapsed="false">
      <c r="A20" s="1" t="n">
        <v>2027</v>
      </c>
      <c r="B20" s="1" t="n">
        <v>9553</v>
      </c>
      <c r="C20" s="1" t="n">
        <v>5984</v>
      </c>
      <c r="D20" s="1" t="n">
        <v>136458</v>
      </c>
      <c r="E20" s="1" t="n">
        <v>1577.2</v>
      </c>
    </row>
    <row r="21" customFormat="false" ht="15" hidden="false" customHeight="true" outlineLevel="0" collapsed="false">
      <c r="A21" s="1" t="n">
        <v>2028</v>
      </c>
      <c r="B21" s="1" t="n">
        <v>19106</v>
      </c>
      <c r="C21" s="1" t="n">
        <v>11968</v>
      </c>
      <c r="D21" s="1" t="n">
        <v>272916</v>
      </c>
      <c r="E21" s="1" t="n">
        <v>3154.5</v>
      </c>
    </row>
    <row r="22" customFormat="false" ht="15" hidden="false" customHeight="true" outlineLevel="0" collapsed="false">
      <c r="A22" s="1" t="n">
        <v>2029</v>
      </c>
      <c r="B22" s="1" t="n">
        <v>28658</v>
      </c>
      <c r="C22" s="1" t="n">
        <v>17953</v>
      </c>
      <c r="D22" s="1" t="n">
        <v>409374</v>
      </c>
      <c r="E22" s="1" t="n">
        <v>4731.8</v>
      </c>
    </row>
    <row r="23" customFormat="false" ht="15" hidden="false" customHeight="true" outlineLevel="0" collapsed="false">
      <c r="A23" s="1" t="n">
        <v>2030</v>
      </c>
      <c r="B23" s="1" t="n">
        <v>38211</v>
      </c>
      <c r="C23" s="1" t="n">
        <v>23937</v>
      </c>
      <c r="D23" s="1" t="n">
        <v>545832</v>
      </c>
      <c r="E23" s="1" t="n">
        <v>6309</v>
      </c>
    </row>
    <row r="24" customFormat="false" ht="15" hidden="false" customHeight="true" outlineLevel="0" collapsed="false">
      <c r="A24" s="1" t="n">
        <v>2031</v>
      </c>
      <c r="B24" s="1" t="n">
        <v>43650</v>
      </c>
      <c r="C24" s="1" t="n">
        <v>31035</v>
      </c>
      <c r="D24" s="1" t="n">
        <v>702161</v>
      </c>
      <c r="E24" s="1" t="n">
        <v>7144</v>
      </c>
    </row>
    <row r="25" customFormat="false" ht="15" hidden="false" customHeight="true" outlineLevel="0" collapsed="false">
      <c r="A25" s="1" t="n">
        <v>2032</v>
      </c>
      <c r="B25" s="1" t="n">
        <v>49089</v>
      </c>
      <c r="C25" s="1" t="n">
        <v>38133</v>
      </c>
      <c r="D25" s="1" t="n">
        <v>858490</v>
      </c>
      <c r="E25" s="1" t="n">
        <v>7979</v>
      </c>
    </row>
    <row r="26" customFormat="false" ht="15" hidden="false" customHeight="true" outlineLevel="0" collapsed="false">
      <c r="A26" s="1" t="n">
        <v>2033</v>
      </c>
      <c r="B26" s="1" t="n">
        <v>54529</v>
      </c>
      <c r="C26" s="1" t="n">
        <v>45230</v>
      </c>
      <c r="D26" s="1" t="n">
        <v>1014820</v>
      </c>
      <c r="E26" s="1" t="n">
        <v>8814</v>
      </c>
    </row>
    <row r="27" customFormat="false" ht="15" hidden="false" customHeight="true" outlineLevel="0" collapsed="false">
      <c r="A27" s="1" t="n">
        <v>2034</v>
      </c>
      <c r="B27" s="1" t="n">
        <v>59968</v>
      </c>
      <c r="C27" s="1" t="n">
        <v>52328</v>
      </c>
      <c r="D27" s="1" t="n">
        <v>1171149</v>
      </c>
      <c r="E27" s="1" t="n">
        <v>9649</v>
      </c>
    </row>
    <row r="28" customFormat="false" ht="15" hidden="false" customHeight="true" outlineLevel="0" collapsed="false">
      <c r="A28" s="1" t="n">
        <v>2035</v>
      </c>
      <c r="B28" s="1" t="n">
        <v>65407</v>
      </c>
      <c r="C28" s="1" t="n">
        <v>59426</v>
      </c>
      <c r="D28" s="1" t="n">
        <v>1327478</v>
      </c>
      <c r="E28" s="1" t="n">
        <v>10484</v>
      </c>
    </row>
    <row r="29" customFormat="false" ht="15" hidden="false" customHeight="true" outlineLevel="0" collapsed="false">
      <c r="A29" s="1" t="n">
        <v>2036</v>
      </c>
      <c r="B29" s="1" t="n">
        <v>65977</v>
      </c>
      <c r="C29" s="1" t="n">
        <v>60862</v>
      </c>
      <c r="D29" s="1" t="n">
        <v>1321796</v>
      </c>
      <c r="E29" s="1" t="n">
        <v>10554.3</v>
      </c>
    </row>
    <row r="30" customFormat="false" ht="15" hidden="false" customHeight="true" outlineLevel="0" collapsed="false">
      <c r="A30" s="1" t="n">
        <v>2037</v>
      </c>
      <c r="B30" s="1" t="n">
        <v>66548</v>
      </c>
      <c r="C30" s="1" t="n">
        <v>62298</v>
      </c>
      <c r="D30" s="1" t="n">
        <v>1316114</v>
      </c>
      <c r="E30" s="1" t="n">
        <v>10624.6</v>
      </c>
    </row>
    <row r="31" customFormat="false" ht="15" hidden="false" customHeight="true" outlineLevel="0" collapsed="false">
      <c r="A31" s="1" t="n">
        <v>2038</v>
      </c>
      <c r="B31" s="1" t="n">
        <v>67118</v>
      </c>
      <c r="C31" s="1" t="n">
        <v>63735</v>
      </c>
      <c r="D31" s="1" t="n">
        <v>1310432</v>
      </c>
      <c r="E31" s="1" t="n">
        <v>10694.8</v>
      </c>
    </row>
    <row r="32" customFormat="false" ht="15" hidden="false" customHeight="true" outlineLevel="0" collapsed="false">
      <c r="A32" s="1" t="n">
        <v>2039</v>
      </c>
      <c r="B32" s="1" t="n">
        <v>67689</v>
      </c>
      <c r="C32" s="1" t="n">
        <v>65171</v>
      </c>
      <c r="D32" s="1" t="n">
        <v>1304750</v>
      </c>
      <c r="E32" s="1" t="n">
        <v>10765.1</v>
      </c>
    </row>
    <row r="33" customFormat="false" ht="15" hidden="false" customHeight="true" outlineLevel="0" collapsed="false">
      <c r="A33" s="1" t="n">
        <v>2040</v>
      </c>
      <c r="B33" s="1" t="n">
        <v>68259</v>
      </c>
      <c r="C33" s="1" t="n">
        <v>66607</v>
      </c>
      <c r="D33" s="1" t="n">
        <v>1299068</v>
      </c>
      <c r="E33" s="1" t="n">
        <v>10835.4</v>
      </c>
    </row>
    <row r="34" customFormat="false" ht="15" hidden="false" customHeight="true" outlineLevel="0" collapsed="false">
      <c r="A34" s="1" t="n">
        <v>2041</v>
      </c>
      <c r="B34" s="1" t="n">
        <v>72635</v>
      </c>
      <c r="C34" s="1" t="n">
        <v>78120</v>
      </c>
      <c r="D34" s="1" t="n">
        <v>1379943</v>
      </c>
      <c r="E34" s="1" t="n">
        <v>11465.7</v>
      </c>
    </row>
    <row r="35" customFormat="false" ht="15" hidden="false" customHeight="true" outlineLevel="0" collapsed="false">
      <c r="A35" s="1" t="n">
        <v>2042</v>
      </c>
      <c r="B35" s="1" t="n">
        <v>77011</v>
      </c>
      <c r="C35" s="1" t="n">
        <v>89632</v>
      </c>
      <c r="D35" s="1" t="n">
        <v>1460818</v>
      </c>
      <c r="E35" s="1" t="n">
        <v>12096</v>
      </c>
    </row>
    <row r="36" customFormat="false" ht="15" hidden="false" customHeight="true" outlineLevel="0" collapsed="false">
      <c r="A36" s="1" t="n">
        <v>2043</v>
      </c>
      <c r="B36" s="1" t="n">
        <v>81388</v>
      </c>
      <c r="C36" s="1" t="n">
        <v>101145</v>
      </c>
      <c r="D36" s="1" t="n">
        <v>1541693</v>
      </c>
      <c r="E36" s="1" t="n">
        <v>12726.3</v>
      </c>
    </row>
    <row r="37" customFormat="false" ht="15" hidden="false" customHeight="true" outlineLevel="0" collapsed="false">
      <c r="A37" s="1" t="n">
        <v>2044</v>
      </c>
      <c r="B37" s="1" t="n">
        <v>85764</v>
      </c>
      <c r="C37" s="1" t="n">
        <v>112657</v>
      </c>
      <c r="D37" s="1" t="n">
        <v>1622568</v>
      </c>
      <c r="E37" s="1" t="n">
        <v>13356.6</v>
      </c>
    </row>
    <row r="38" customFormat="false" ht="15" hidden="false" customHeight="true" outlineLevel="0" collapsed="false">
      <c r="A38" s="1" t="n">
        <v>2045</v>
      </c>
      <c r="B38" s="1" t="n">
        <v>90140</v>
      </c>
      <c r="C38" s="1" t="n">
        <v>124170</v>
      </c>
      <c r="D38" s="1" t="n">
        <v>1703443</v>
      </c>
      <c r="E38" s="1" t="n">
        <v>13986.9</v>
      </c>
    </row>
    <row r="40" customFormat="false" ht="15" hidden="false" customHeight="true" outlineLevel="0" collapsed="false">
      <c r="A40" s="19" t="s">
        <v>767</v>
      </c>
    </row>
    <row r="41" customFormat="false" ht="15" hidden="false" customHeight="true" outlineLevel="0" collapsed="false">
      <c r="A41" s="4" t="s">
        <v>768</v>
      </c>
      <c r="B41" s="1" t="n">
        <f aca="false">SUMPRODUCT(E19:E38,1/(1.045^(ROW(E19:E38)-ROW(E19))))</f>
        <v>107621.728002786</v>
      </c>
    </row>
    <row r="42" customFormat="false" ht="15" hidden="false" customHeight="true" outlineLevel="0" collapsed="false">
      <c r="A42" s="4" t="s">
        <v>769</v>
      </c>
      <c r="B42" s="1" t="n">
        <f aca="false">119818/(1.045^0)+124821.1/(1.045^1)+129825.9/(1.045^2)+134832.3/(1.045^3)+139840.2/(1.045^4)+144839.5/(1.045^5)+149839.8/(1.045^6)+154842.2/(1.045^7)+159845.4/(1.045^8)+160342.4/(1.045^9)+160816.1/(1.045^10)+161289.8/(1.045^11)+161765.5/(1.045^12)+162241/(1.045^13)+162718.2/(1.045^14)+163278.7/(1.045^15)+163841.3/(1.045^16)+164407/(1.045^17)+164974.5/(1.045^18)+165544.9/(1.045^19)</f>
        <v>2026281.64409739</v>
      </c>
    </row>
    <row r="43" customFormat="false" ht="15" hidden="false" customHeight="true" outlineLevel="0" collapsed="false">
      <c r="A43" s="4" t="s">
        <v>838</v>
      </c>
      <c r="B43" s="57" t="n">
        <f aca="false">B41*1000/B42</f>
        <v>53.1129166156596</v>
      </c>
    </row>
    <row r="45" customFormat="false" ht="15" hidden="false" customHeight="true" outlineLevel="0" collapsed="false">
      <c r="A45" s="30" t="s">
        <v>781</v>
      </c>
    </row>
    <row r="47" customFormat="false" ht="15" hidden="false" customHeight="true" outlineLevel="0" collapsed="false">
      <c r="A47" s="58" t="s">
        <v>839</v>
      </c>
    </row>
    <row r="48" customFormat="false" ht="15" hidden="false" customHeight="true" outlineLevel="0" collapsed="false">
      <c r="A48" s="59" t="s">
        <v>840</v>
      </c>
    </row>
    <row r="49" customFormat="false" ht="15" hidden="false" customHeight="true" outlineLevel="0" collapsed="false">
      <c r="A49" s="60" t="s">
        <v>841</v>
      </c>
    </row>
    <row r="50" customFormat="false" ht="15" hidden="false" customHeight="true" outlineLevel="0" collapsed="false">
      <c r="A50" s="60" t="s">
        <v>842</v>
      </c>
    </row>
    <row r="51" customFormat="false" ht="15" hidden="false" customHeight="true" outlineLevel="0" collapsed="false">
      <c r="A51" s="60" t="s">
        <v>843</v>
      </c>
    </row>
    <row r="52" customFormat="false" ht="15" hidden="false" customHeight="true" outlineLevel="0" collapsed="false">
      <c r="A52" s="60"/>
    </row>
    <row r="53" customFormat="false" ht="15" hidden="false" customHeight="true" outlineLevel="0" collapsed="false">
      <c r="A53" s="60" t="s">
        <v>844</v>
      </c>
    </row>
    <row r="54" customFormat="false" ht="15" hidden="false" customHeight="true" outlineLevel="0" collapsed="false">
      <c r="A54" s="60" t="s">
        <v>845</v>
      </c>
    </row>
    <row r="55" customFormat="false" ht="15" hidden="false" customHeight="true" outlineLevel="0" collapsed="false">
      <c r="A55" s="60" t="s">
        <v>846</v>
      </c>
    </row>
    <row r="56" customFormat="false" ht="15" hidden="false" customHeight="true" outlineLevel="0" collapsed="false">
      <c r="A56" s="60" t="s">
        <v>847</v>
      </c>
    </row>
    <row r="57" customFormat="false" ht="15" hidden="false" customHeight="true" outlineLevel="0" collapsed="false">
      <c r="A57" s="60" t="s">
        <v>848</v>
      </c>
    </row>
    <row r="58" customFormat="false" ht="15" hidden="false" customHeight="true" outlineLevel="0" collapsed="false">
      <c r="A58" s="60" t="s">
        <v>849</v>
      </c>
    </row>
    <row r="59" customFormat="false" ht="15" hidden="false" customHeight="true" outlineLevel="0" collapsed="false">
      <c r="A59" s="60" t="s">
        <v>850</v>
      </c>
    </row>
    <row r="60" customFormat="false" ht="15" hidden="false" customHeight="true" outlineLevel="0" collapsed="false">
      <c r="A60" s="60" t="s">
        <v>851</v>
      </c>
    </row>
    <row r="61" customFormat="false" ht="15" hidden="false" customHeight="true" outlineLevel="0" collapsed="false">
      <c r="A61" s="60"/>
    </row>
    <row r="62" customFormat="false" ht="15" hidden="false" customHeight="true" outlineLevel="0" collapsed="false">
      <c r="A62" s="60" t="s">
        <v>852</v>
      </c>
    </row>
    <row r="63" customFormat="false" ht="15" hidden="false" customHeight="true" outlineLevel="0" collapsed="false">
      <c r="A63" s="60" t="s">
        <v>853</v>
      </c>
    </row>
    <row r="64" customFormat="false" ht="15" hidden="false" customHeight="true" outlineLevel="0" collapsed="false">
      <c r="A64" s="60"/>
    </row>
    <row r="65" customFormat="false" ht="15" hidden="false" customHeight="true" outlineLevel="0" collapsed="false">
      <c r="A65" s="59" t="s">
        <v>854</v>
      </c>
    </row>
    <row r="66" customFormat="false" ht="15" hidden="false" customHeight="true" outlineLevel="0" collapsed="false">
      <c r="A66" s="60" t="s">
        <v>855</v>
      </c>
    </row>
    <row r="67" customFormat="false" ht="15" hidden="false" customHeight="true" outlineLevel="0" collapsed="false">
      <c r="A67" s="60" t="s">
        <v>856</v>
      </c>
    </row>
    <row r="68" customFormat="false" ht="15" hidden="false" customHeight="true" outlineLevel="0" collapsed="false">
      <c r="A68" s="60" t="s">
        <v>857</v>
      </c>
    </row>
    <row r="69" customFormat="false" ht="15" hidden="false" customHeight="true" outlineLevel="0" collapsed="false">
      <c r="A69" s="60"/>
    </row>
    <row r="70" customFormat="false" ht="15" hidden="false" customHeight="true" outlineLevel="0" collapsed="false">
      <c r="A70" s="60" t="s">
        <v>858</v>
      </c>
    </row>
    <row r="71" customFormat="false" ht="15" hidden="false" customHeight="true" outlineLevel="0" collapsed="false">
      <c r="A71" s="60" t="s">
        <v>859</v>
      </c>
    </row>
    <row r="72" customFormat="false" ht="15" hidden="false" customHeight="true" outlineLevel="0" collapsed="false">
      <c r="A72" s="60" t="s">
        <v>860</v>
      </c>
    </row>
    <row r="73" customFormat="false" ht="15" hidden="false" customHeight="true" outlineLevel="0" collapsed="false">
      <c r="A73" s="60" t="s">
        <v>861</v>
      </c>
    </row>
    <row r="74" customFormat="false" ht="15" hidden="false" customHeight="true" outlineLevel="0" collapsed="false">
      <c r="A74" s="60" t="s">
        <v>862</v>
      </c>
    </row>
    <row r="75" customFormat="false" ht="15" hidden="false" customHeight="true" outlineLevel="0" collapsed="false">
      <c r="A75" s="60" t="s">
        <v>863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6" min="2" style="1" width="14"/>
  </cols>
  <sheetData>
    <row r="1" customFormat="false" ht="19.5" hidden="false" customHeight="true" outlineLevel="0" collapsed="false">
      <c r="A1" s="2" t="s">
        <v>864</v>
      </c>
    </row>
    <row r="2" customFormat="false" ht="15" hidden="false" customHeight="true" outlineLevel="0" collapsed="false">
      <c r="A2" s="3" t="s">
        <v>865</v>
      </c>
    </row>
    <row r="4" customFormat="false" ht="15" hidden="false" customHeight="true" outlineLevel="0" collapsed="false">
      <c r="A4" s="19" t="s">
        <v>775</v>
      </c>
      <c r="B4" s="20"/>
      <c r="C4" s="20"/>
      <c r="D4" s="20"/>
      <c r="E4" s="20"/>
      <c r="F4" s="20"/>
      <c r="G4" s="20"/>
      <c r="H4" s="20"/>
      <c r="I4" s="20"/>
      <c r="J4" s="20"/>
      <c r="K4" s="20"/>
      <c r="L4" s="20"/>
      <c r="M4" s="20"/>
      <c r="N4" s="20"/>
      <c r="O4" s="20"/>
      <c r="P4" s="20"/>
      <c r="Q4" s="20"/>
      <c r="R4" s="20"/>
      <c r="S4" s="20"/>
      <c r="T4" s="20"/>
      <c r="U4" s="20"/>
      <c r="V4" s="20"/>
      <c r="W4" s="20"/>
      <c r="X4" s="20"/>
      <c r="Y4" s="20"/>
      <c r="Z4" s="20"/>
      <c r="AA4" s="20"/>
    </row>
    <row r="5" customFormat="false" ht="15" hidden="false" customHeight="true" outlineLevel="0" collapsed="false">
      <c r="A5" s="30" t="s">
        <v>866</v>
      </c>
    </row>
    <row r="6" customFormat="false" ht="15" hidden="false" customHeight="true" outlineLevel="0" collapsed="false">
      <c r="A6" s="30" t="s">
        <v>867</v>
      </c>
    </row>
    <row r="7" customFormat="false" ht="15" hidden="false" customHeight="true" outlineLevel="0" collapsed="false">
      <c r="A7" s="30" t="s">
        <v>868</v>
      </c>
    </row>
    <row r="8" customFormat="false" ht="15" hidden="false" customHeight="true" outlineLevel="0" collapsed="false">
      <c r="A8" s="30" t="s">
        <v>869</v>
      </c>
    </row>
    <row r="9" customFormat="false" ht="15" hidden="false" customHeight="true" outlineLevel="0" collapsed="false">
      <c r="A9" s="30" t="s">
        <v>870</v>
      </c>
    </row>
    <row r="11" customFormat="false" ht="15" hidden="false" customHeight="true" outlineLevel="0" collapsed="false">
      <c r="A11" s="19" t="s">
        <v>871</v>
      </c>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row>
    <row r="12" customFormat="false" ht="15" hidden="false" customHeight="true" outlineLevel="0" collapsed="false">
      <c r="A12" s="4" t="s">
        <v>758</v>
      </c>
      <c r="B12" s="4" t="s">
        <v>872</v>
      </c>
      <c r="C12" s="4" t="s">
        <v>873</v>
      </c>
    </row>
    <row r="13" customFormat="false" ht="15" hidden="false" customHeight="true" outlineLevel="0" collapsed="false">
      <c r="A13" s="1" t="n">
        <v>2030</v>
      </c>
      <c r="B13" s="34" t="n">
        <v>76166.2</v>
      </c>
      <c r="C13" s="50" t="n">
        <v>27.32</v>
      </c>
    </row>
    <row r="14" customFormat="false" ht="15" hidden="false" customHeight="true" outlineLevel="0" collapsed="false">
      <c r="A14" s="1" t="n">
        <v>2035</v>
      </c>
      <c r="B14" s="34" t="n">
        <v>87824.5</v>
      </c>
      <c r="C14" s="50" t="n">
        <v>28.6</v>
      </c>
    </row>
    <row r="15" customFormat="false" ht="15" hidden="false" customHeight="true" outlineLevel="0" collapsed="false">
      <c r="A15" s="1" t="n">
        <v>2040</v>
      </c>
      <c r="B15" s="34" t="n">
        <v>92524.5</v>
      </c>
      <c r="C15" s="50" t="n">
        <v>29.88</v>
      </c>
    </row>
    <row r="16" customFormat="false" ht="15" hidden="false" customHeight="true" outlineLevel="0" collapsed="false">
      <c r="A16" s="1" t="s">
        <v>764</v>
      </c>
      <c r="B16" s="34" t="n">
        <v>97473.9</v>
      </c>
      <c r="C16" s="50" t="n">
        <v>32.28</v>
      </c>
    </row>
    <row r="18" customFormat="false" ht="15" hidden="false" customHeight="true" outlineLevel="0" collapsed="false">
      <c r="A18" s="19" t="s">
        <v>780</v>
      </c>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row>
    <row r="19" customFormat="false" ht="15" hidden="false" customHeight="true" outlineLevel="0" collapsed="false">
      <c r="A19" s="4" t="s">
        <v>758</v>
      </c>
      <c r="B19" s="4" t="s">
        <v>759</v>
      </c>
      <c r="C19" s="4" t="s">
        <v>803</v>
      </c>
      <c r="D19" s="4" t="s">
        <v>804</v>
      </c>
      <c r="E19" s="4" t="s">
        <v>766</v>
      </c>
    </row>
    <row r="20" customFormat="false" ht="15" hidden="false" customHeight="true" outlineLevel="0" collapsed="false">
      <c r="A20" s="1" t="n">
        <v>2026</v>
      </c>
      <c r="B20" s="34" t="n">
        <v>0</v>
      </c>
      <c r="C20" s="34" t="n">
        <v>0</v>
      </c>
      <c r="D20" s="34" t="n">
        <v>0</v>
      </c>
      <c r="E20" s="53" t="n">
        <v>0</v>
      </c>
    </row>
    <row r="21" customFormat="false" ht="15" hidden="false" customHeight="true" outlineLevel="0" collapsed="false">
      <c r="A21" s="1" t="n">
        <v>2027</v>
      </c>
      <c r="B21" s="34" t="n">
        <v>2500</v>
      </c>
      <c r="C21" s="34" t="n">
        <v>3534</v>
      </c>
      <c r="D21" s="34" t="n">
        <v>19042</v>
      </c>
      <c r="E21" s="53" t="n">
        <v>1541.2</v>
      </c>
    </row>
    <row r="22" customFormat="false" ht="15" hidden="false" customHeight="true" outlineLevel="0" collapsed="false">
      <c r="A22" s="1" t="n">
        <v>2028</v>
      </c>
      <c r="B22" s="34" t="n">
        <v>5000</v>
      </c>
      <c r="C22" s="34" t="n">
        <v>7068</v>
      </c>
      <c r="D22" s="34" t="n">
        <v>38083</v>
      </c>
      <c r="E22" s="53" t="n">
        <v>3082.4</v>
      </c>
    </row>
    <row r="23" customFormat="false" ht="15" hidden="false" customHeight="true" outlineLevel="0" collapsed="false">
      <c r="A23" s="1" t="n">
        <v>2029</v>
      </c>
      <c r="B23" s="34" t="n">
        <v>7500</v>
      </c>
      <c r="C23" s="34" t="n">
        <v>10603</v>
      </c>
      <c r="D23" s="34" t="n">
        <v>57124</v>
      </c>
      <c r="E23" s="53" t="n">
        <v>4623.6</v>
      </c>
    </row>
    <row r="24" customFormat="false" ht="15" hidden="false" customHeight="true" outlineLevel="0" collapsed="false">
      <c r="A24" s="1" t="n">
        <v>2030</v>
      </c>
      <c r="B24" s="34" t="n">
        <v>10000</v>
      </c>
      <c r="C24" s="34" t="n">
        <v>14137</v>
      </c>
      <c r="D24" s="34" t="n">
        <v>76166</v>
      </c>
      <c r="E24" s="53" t="n">
        <v>6164.8</v>
      </c>
    </row>
    <row r="25" customFormat="false" ht="15" hidden="false" customHeight="true" outlineLevel="0" collapsed="false">
      <c r="A25" s="1" t="n">
        <v>2031</v>
      </c>
      <c r="B25" s="34" t="n">
        <v>11220</v>
      </c>
      <c r="C25" s="34" t="n">
        <v>14661</v>
      </c>
      <c r="D25" s="34" t="n">
        <v>78498</v>
      </c>
      <c r="E25" s="53" t="n">
        <v>6525.5</v>
      </c>
    </row>
    <row r="26" customFormat="false" ht="15" hidden="false" customHeight="true" outlineLevel="0" collapsed="false">
      <c r="A26" s="1" t="n">
        <v>2032</v>
      </c>
      <c r="B26" s="34" t="n">
        <v>12440</v>
      </c>
      <c r="C26" s="34" t="n">
        <v>15185</v>
      </c>
      <c r="D26" s="34" t="n">
        <v>80830</v>
      </c>
      <c r="E26" s="53" t="n">
        <v>6886.2</v>
      </c>
    </row>
    <row r="27" customFormat="false" ht="15" hidden="false" customHeight="true" outlineLevel="0" collapsed="false">
      <c r="A27" s="1" t="n">
        <v>2033</v>
      </c>
      <c r="B27" s="34" t="n">
        <v>13660</v>
      </c>
      <c r="C27" s="34" t="n">
        <v>15710</v>
      </c>
      <c r="D27" s="34" t="n">
        <v>83161</v>
      </c>
      <c r="E27" s="53" t="n">
        <v>7246.8</v>
      </c>
    </row>
    <row r="28" customFormat="false" ht="15" hidden="false" customHeight="true" outlineLevel="0" collapsed="false">
      <c r="A28" s="1" t="n">
        <v>2034</v>
      </c>
      <c r="B28" s="34" t="n">
        <v>14880</v>
      </c>
      <c r="C28" s="34" t="n">
        <v>16234</v>
      </c>
      <c r="D28" s="34" t="n">
        <v>85493</v>
      </c>
      <c r="E28" s="53" t="n">
        <v>7607.5</v>
      </c>
    </row>
    <row r="29" customFormat="false" ht="15" hidden="false" customHeight="true" outlineLevel="0" collapsed="false">
      <c r="A29" s="1" t="n">
        <v>2035</v>
      </c>
      <c r="B29" s="34" t="n">
        <v>16100</v>
      </c>
      <c r="C29" s="34" t="n">
        <v>16758</v>
      </c>
      <c r="D29" s="34" t="n">
        <v>87825</v>
      </c>
      <c r="E29" s="53" t="n">
        <v>7968.2</v>
      </c>
    </row>
    <row r="30" customFormat="false" ht="15" hidden="false" customHeight="true" outlineLevel="0" collapsed="false">
      <c r="A30" s="1" t="n">
        <v>2036</v>
      </c>
      <c r="B30" s="34" t="n">
        <v>16100</v>
      </c>
      <c r="C30" s="34" t="n">
        <v>16877</v>
      </c>
      <c r="D30" s="34" t="n">
        <v>88765</v>
      </c>
      <c r="E30" s="53" t="n">
        <v>8048.5</v>
      </c>
    </row>
    <row r="31" customFormat="false" ht="15" hidden="false" customHeight="true" outlineLevel="0" collapsed="false">
      <c r="A31" s="1" t="n">
        <v>2037</v>
      </c>
      <c r="B31" s="34" t="n">
        <v>16100</v>
      </c>
      <c r="C31" s="34" t="n">
        <v>16995</v>
      </c>
      <c r="D31" s="34" t="n">
        <v>89705</v>
      </c>
      <c r="E31" s="53" t="n">
        <v>8128.8</v>
      </c>
    </row>
    <row r="32" customFormat="false" ht="15" hidden="false" customHeight="true" outlineLevel="0" collapsed="false">
      <c r="A32" s="1" t="n">
        <v>2038</v>
      </c>
      <c r="B32" s="34" t="n">
        <v>16100</v>
      </c>
      <c r="C32" s="34" t="n">
        <v>17114</v>
      </c>
      <c r="D32" s="34" t="n">
        <v>90645</v>
      </c>
      <c r="E32" s="53" t="n">
        <v>8209.2</v>
      </c>
    </row>
    <row r="33" customFormat="false" ht="15" hidden="false" customHeight="true" outlineLevel="0" collapsed="false">
      <c r="A33" s="1" t="n">
        <v>2039</v>
      </c>
      <c r="B33" s="34" t="n">
        <v>16100</v>
      </c>
      <c r="C33" s="34" t="n">
        <v>17232</v>
      </c>
      <c r="D33" s="34" t="n">
        <v>91585</v>
      </c>
      <c r="E33" s="53" t="n">
        <v>8289.5</v>
      </c>
    </row>
    <row r="34" customFormat="false" ht="15" hidden="false" customHeight="true" outlineLevel="0" collapsed="false">
      <c r="A34" s="1" t="n">
        <v>2040</v>
      </c>
      <c r="B34" s="34" t="n">
        <v>16100</v>
      </c>
      <c r="C34" s="34" t="n">
        <v>17351</v>
      </c>
      <c r="D34" s="34" t="n">
        <v>92525</v>
      </c>
      <c r="E34" s="53" t="n">
        <v>8369.8</v>
      </c>
    </row>
    <row r="35" customFormat="false" ht="15" hidden="false" customHeight="true" outlineLevel="0" collapsed="false">
      <c r="A35" s="1" t="n">
        <v>2041</v>
      </c>
      <c r="B35" s="34" t="n">
        <v>16100</v>
      </c>
      <c r="C35" s="34" t="n">
        <v>17545</v>
      </c>
      <c r="D35" s="34" t="n">
        <v>93515</v>
      </c>
      <c r="E35" s="53" t="n">
        <v>8469.9</v>
      </c>
    </row>
    <row r="36" customFormat="false" ht="15" hidden="false" customHeight="true" outlineLevel="0" collapsed="false">
      <c r="A36" s="1" t="n">
        <v>2042</v>
      </c>
      <c r="B36" s="34" t="n">
        <v>16100</v>
      </c>
      <c r="C36" s="34" t="n">
        <v>17739</v>
      </c>
      <c r="D36" s="34" t="n">
        <v>94505</v>
      </c>
      <c r="E36" s="53" t="n">
        <v>8570.1</v>
      </c>
    </row>
    <row r="37" customFormat="false" ht="15" hidden="false" customHeight="true" outlineLevel="0" collapsed="false">
      <c r="A37" s="1" t="n">
        <v>2043</v>
      </c>
      <c r="B37" s="34" t="n">
        <v>16100</v>
      </c>
      <c r="C37" s="34" t="n">
        <v>17932</v>
      </c>
      <c r="D37" s="34" t="n">
        <v>95494</v>
      </c>
      <c r="E37" s="53" t="n">
        <v>8670.2</v>
      </c>
    </row>
    <row r="38" customFormat="false" ht="15" hidden="false" customHeight="true" outlineLevel="0" collapsed="false">
      <c r="A38" s="1" t="n">
        <v>2044</v>
      </c>
      <c r="B38" s="34" t="n">
        <v>16100</v>
      </c>
      <c r="C38" s="34" t="n">
        <v>18126</v>
      </c>
      <c r="D38" s="34" t="n">
        <v>96484</v>
      </c>
      <c r="E38" s="53" t="n">
        <v>8770.4</v>
      </c>
    </row>
    <row r="39" customFormat="false" ht="15" hidden="false" customHeight="true" outlineLevel="0" collapsed="false">
      <c r="A39" s="1" t="n">
        <v>2045</v>
      </c>
      <c r="B39" s="34" t="n">
        <v>16100</v>
      </c>
      <c r="C39" s="34" t="n">
        <v>18320</v>
      </c>
      <c r="D39" s="34" t="n">
        <v>97474</v>
      </c>
      <c r="E39" s="53" t="n">
        <v>8870.5</v>
      </c>
    </row>
    <row r="41" customFormat="false" ht="15" hidden="false" customHeight="true" outlineLevel="0" collapsed="false">
      <c r="A41" s="19" t="s">
        <v>767</v>
      </c>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row>
    <row r="42" customFormat="false" ht="15" hidden="false" customHeight="true" outlineLevel="0" collapsed="false">
      <c r="A42" s="4" t="s">
        <v>768</v>
      </c>
      <c r="B42" s="35" t="n">
        <f aca="false">SUMPRODUCT(E20:E39,1/(1.045^(ROW(E20:E39)-ROW(E20))))</f>
        <v>84840.3084753892</v>
      </c>
    </row>
    <row r="43" customFormat="false" ht="15" hidden="false" customHeight="true" outlineLevel="0" collapsed="false">
      <c r="A43" s="4" t="s">
        <v>769</v>
      </c>
      <c r="B43" s="34" t="n">
        <f aca="false">119818/(1.045^0)+125136/(1.045^1)+130462/(1.045^2)+135796/(1.045^3)+141138/(1.045^4)+146489/(1.045^5)+151848/(1.045^6)+157216/(1.045^7)+162592/(1.045^8)+163469/(1.045^9)+164355/(1.045^10)+165249/(1.045^11)+166153/(1.045^12)+167065/(1.045^13)+167987/(1.045^14)+168918/(1.045^15)+169858/(1.045^16)+170808/(1.045^17)+171767/(1.045^18)+172736/(1.045^19)</f>
        <v>2065725.62539457</v>
      </c>
    </row>
    <row r="44" customFormat="false" ht="15" hidden="false" customHeight="true" outlineLevel="0" collapsed="false">
      <c r="A44" s="4" t="s">
        <v>874</v>
      </c>
      <c r="B44" s="54" t="n">
        <f aca="false">B42*1000/B43</f>
        <v>41.0704632950389</v>
      </c>
    </row>
    <row r="46" customFormat="false" ht="15" hidden="false" customHeight="true" outlineLevel="0" collapsed="false">
      <c r="A46" s="30" t="s">
        <v>875</v>
      </c>
    </row>
    <row r="47" customFormat="false" ht="15" hidden="false" customHeight="true" outlineLevel="0" collapsed="false">
      <c r="A47" s="30" t="s">
        <v>876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4"/>
  </cols>
  <sheetData>
    <row r="1" customFormat="false" ht="19.5" hidden="false" customHeight="true" outlineLevel="0" collapsed="false">
      <c r="A1" s="2" t="s">
        <v>864</v>
      </c>
    </row>
    <row r="2" customFormat="false" ht="15" hidden="false" customHeight="true" outlineLevel="0" collapsed="false">
      <c r="A2" s="3" t="s">
        <v>865</v>
      </c>
    </row>
    <row r="4" customFormat="false" ht="15" hidden="false" customHeight="true" outlineLevel="0" collapsed="false">
      <c r="A4" s="19" t="s">
        <v>775</v>
      </c>
    </row>
    <row r="5" customFormat="false" ht="15" hidden="false" customHeight="true" outlineLevel="0" collapsed="false">
      <c r="A5" s="30" t="s">
        <v>866</v>
      </c>
    </row>
    <row r="6" customFormat="false" ht="15" hidden="false" customHeight="true" outlineLevel="0" collapsed="false">
      <c r="A6" s="30" t="s">
        <v>867</v>
      </c>
    </row>
    <row r="7" customFormat="false" ht="15" hidden="false" customHeight="true" outlineLevel="0" collapsed="false">
      <c r="A7" s="30" t="s">
        <v>868</v>
      </c>
    </row>
    <row r="8" customFormat="false" ht="15" hidden="false" customHeight="true" outlineLevel="0" collapsed="false">
      <c r="A8" s="30" t="s">
        <v>869</v>
      </c>
    </row>
    <row r="9" customFormat="false" ht="15" hidden="false" customHeight="true" outlineLevel="0" collapsed="false">
      <c r="A9" s="30" t="s">
        <v>870</v>
      </c>
    </row>
    <row r="11" customFormat="false" ht="15" hidden="false" customHeight="true" outlineLevel="0" collapsed="false">
      <c r="A11" s="19" t="s">
        <v>871</v>
      </c>
    </row>
    <row r="12" customFormat="false" ht="15" hidden="false" customHeight="true" outlineLevel="0" collapsed="false">
      <c r="A12" s="4" t="s">
        <v>758</v>
      </c>
      <c r="B12" s="4" t="s">
        <v>872</v>
      </c>
      <c r="C12" s="4" t="s">
        <v>877</v>
      </c>
    </row>
    <row r="13" customFormat="false" ht="15" hidden="false" customHeight="true" outlineLevel="0" collapsed="false">
      <c r="A13" s="1" t="n">
        <v>2030</v>
      </c>
      <c r="B13" s="1" t="n">
        <v>76166.2</v>
      </c>
      <c r="C13" s="1" t="n">
        <v>30.31</v>
      </c>
    </row>
    <row r="14" customFormat="false" ht="15" hidden="false" customHeight="true" outlineLevel="0" collapsed="false">
      <c r="A14" s="1" t="n">
        <v>2035</v>
      </c>
      <c r="B14" s="1" t="n">
        <v>87824.5</v>
      </c>
      <c r="C14" s="1" t="n">
        <v>37.99</v>
      </c>
    </row>
    <row r="15" customFormat="false" ht="15" hidden="false" customHeight="true" outlineLevel="0" collapsed="false">
      <c r="A15" s="1" t="n">
        <v>2040</v>
      </c>
      <c r="B15" s="1" t="n">
        <v>92524.5</v>
      </c>
      <c r="C15" s="1" t="n">
        <v>47.83</v>
      </c>
    </row>
    <row r="16" customFormat="false" ht="15" hidden="false" customHeight="true" outlineLevel="0" collapsed="false">
      <c r="A16" s="1" t="s">
        <v>764</v>
      </c>
      <c r="B16" s="1" t="n">
        <v>97473.9</v>
      </c>
      <c r="C16" s="1" t="n">
        <v>60.44</v>
      </c>
    </row>
    <row r="18" customFormat="false" ht="15" hidden="false" customHeight="true" outlineLevel="0" collapsed="false">
      <c r="A18" s="19" t="s">
        <v>780</v>
      </c>
    </row>
    <row r="19" customFormat="false" ht="15" hidden="false" customHeight="true" outlineLevel="0" collapsed="false">
      <c r="A19" s="4" t="s">
        <v>758</v>
      </c>
      <c r="B19" s="4" t="s">
        <v>759</v>
      </c>
      <c r="C19" s="4" t="s">
        <v>803</v>
      </c>
      <c r="D19" s="4" t="s">
        <v>804</v>
      </c>
      <c r="E19" s="4" t="s">
        <v>766</v>
      </c>
    </row>
    <row r="20" customFormat="false" ht="15" hidden="false" customHeight="true" outlineLevel="0" collapsed="false">
      <c r="A20" s="1" t="n">
        <v>2026</v>
      </c>
      <c r="B20" s="1" t="n">
        <v>0</v>
      </c>
      <c r="C20" s="1" t="n">
        <v>0</v>
      </c>
      <c r="D20" s="1" t="n">
        <v>0</v>
      </c>
      <c r="E20" s="1" t="n">
        <v>0</v>
      </c>
    </row>
    <row r="21" customFormat="false" ht="15" hidden="false" customHeight="true" outlineLevel="0" collapsed="false">
      <c r="A21" s="1" t="n">
        <v>2027</v>
      </c>
      <c r="B21" s="1" t="n">
        <v>2500</v>
      </c>
      <c r="C21" s="1" t="n">
        <v>3534</v>
      </c>
      <c r="D21" s="1" t="n">
        <v>19042</v>
      </c>
      <c r="E21" s="1" t="n">
        <v>1598.2</v>
      </c>
    </row>
    <row r="22" customFormat="false" ht="15" hidden="false" customHeight="true" outlineLevel="0" collapsed="false">
      <c r="A22" s="1" t="n">
        <v>2028</v>
      </c>
      <c r="B22" s="1" t="n">
        <v>5000</v>
      </c>
      <c r="C22" s="1" t="n">
        <v>7068</v>
      </c>
      <c r="D22" s="1" t="n">
        <v>38083</v>
      </c>
      <c r="E22" s="1" t="n">
        <v>3196.3</v>
      </c>
    </row>
    <row r="23" customFormat="false" ht="15" hidden="false" customHeight="true" outlineLevel="0" collapsed="false">
      <c r="A23" s="1" t="n">
        <v>2029</v>
      </c>
      <c r="B23" s="1" t="n">
        <v>7500</v>
      </c>
      <c r="C23" s="1" t="n">
        <v>10603</v>
      </c>
      <c r="D23" s="1" t="n">
        <v>57124</v>
      </c>
      <c r="E23" s="1" t="n">
        <v>4794.5</v>
      </c>
    </row>
    <row r="24" customFormat="false" ht="15" hidden="false" customHeight="true" outlineLevel="0" collapsed="false">
      <c r="A24" s="1" t="n">
        <v>2030</v>
      </c>
      <c r="B24" s="1" t="n">
        <v>10000</v>
      </c>
      <c r="C24" s="1" t="n">
        <v>14137</v>
      </c>
      <c r="D24" s="1" t="n">
        <v>76166</v>
      </c>
      <c r="E24" s="1" t="n">
        <v>6392.7</v>
      </c>
    </row>
    <row r="25" customFormat="false" ht="15" hidden="false" customHeight="true" outlineLevel="0" collapsed="false">
      <c r="A25" s="1" t="n">
        <v>2031</v>
      </c>
      <c r="B25" s="1" t="n">
        <v>11220</v>
      </c>
      <c r="C25" s="1" t="n">
        <v>14661</v>
      </c>
      <c r="D25" s="1" t="n">
        <v>78498</v>
      </c>
      <c r="E25" s="1" t="n">
        <v>6872.8</v>
      </c>
    </row>
    <row r="26" customFormat="false" ht="15" hidden="false" customHeight="true" outlineLevel="0" collapsed="false">
      <c r="A26" s="1" t="n">
        <v>2032</v>
      </c>
      <c r="B26" s="1" t="n">
        <v>12440</v>
      </c>
      <c r="C26" s="1" t="n">
        <v>15185</v>
      </c>
      <c r="D26" s="1" t="n">
        <v>80830</v>
      </c>
      <c r="E26" s="1" t="n">
        <v>7352.9</v>
      </c>
    </row>
    <row r="27" customFormat="false" ht="15" hidden="false" customHeight="true" outlineLevel="0" collapsed="false">
      <c r="A27" s="1" t="n">
        <v>2033</v>
      </c>
      <c r="B27" s="1" t="n">
        <v>13660</v>
      </c>
      <c r="C27" s="1" t="n">
        <v>15710</v>
      </c>
      <c r="D27" s="1" t="n">
        <v>83161</v>
      </c>
      <c r="E27" s="1" t="n">
        <v>7832.9</v>
      </c>
    </row>
    <row r="28" customFormat="false" ht="15" hidden="false" customHeight="true" outlineLevel="0" collapsed="false">
      <c r="A28" s="1" t="n">
        <v>2034</v>
      </c>
      <c r="B28" s="1" t="n">
        <v>14880</v>
      </c>
      <c r="C28" s="1" t="n">
        <v>16234</v>
      </c>
      <c r="D28" s="1" t="n">
        <v>85493</v>
      </c>
      <c r="E28" s="1" t="n">
        <v>8313</v>
      </c>
    </row>
    <row r="29" customFormat="false" ht="15" hidden="false" customHeight="true" outlineLevel="0" collapsed="false">
      <c r="A29" s="1" t="n">
        <v>2035</v>
      </c>
      <c r="B29" s="1" t="n">
        <v>16100</v>
      </c>
      <c r="C29" s="1" t="n">
        <v>16758</v>
      </c>
      <c r="D29" s="1" t="n">
        <v>87825</v>
      </c>
      <c r="E29" s="1" t="n">
        <v>8793.1</v>
      </c>
    </row>
    <row r="30" customFormat="false" ht="15" hidden="false" customHeight="true" outlineLevel="0" collapsed="false">
      <c r="A30" s="1" t="n">
        <v>2036</v>
      </c>
      <c r="B30" s="1" t="n">
        <v>16100</v>
      </c>
      <c r="C30" s="1" t="n">
        <v>16877</v>
      </c>
      <c r="D30" s="1" t="n">
        <v>88765</v>
      </c>
      <c r="E30" s="1" t="n">
        <v>9040.7</v>
      </c>
    </row>
    <row r="31" customFormat="false" ht="15" hidden="false" customHeight="true" outlineLevel="0" collapsed="false">
      <c r="A31" s="1" t="n">
        <v>2037</v>
      </c>
      <c r="B31" s="1" t="n">
        <v>16100</v>
      </c>
      <c r="C31" s="1" t="n">
        <v>16995</v>
      </c>
      <c r="D31" s="1" t="n">
        <v>89705</v>
      </c>
      <c r="E31" s="1" t="n">
        <v>9288.3</v>
      </c>
    </row>
    <row r="32" customFormat="false" ht="15" hidden="false" customHeight="true" outlineLevel="0" collapsed="false">
      <c r="A32" s="1" t="n">
        <v>2038</v>
      </c>
      <c r="B32" s="1" t="n">
        <v>16100</v>
      </c>
      <c r="C32" s="1" t="n">
        <v>17114</v>
      </c>
      <c r="D32" s="1" t="n">
        <v>90645</v>
      </c>
      <c r="E32" s="1" t="n">
        <v>9535.8</v>
      </c>
    </row>
    <row r="33" customFormat="false" ht="15" hidden="false" customHeight="true" outlineLevel="0" collapsed="false">
      <c r="A33" s="1" t="n">
        <v>2039</v>
      </c>
      <c r="B33" s="1" t="n">
        <v>16100</v>
      </c>
      <c r="C33" s="1" t="n">
        <v>17232</v>
      </c>
      <c r="D33" s="1" t="n">
        <v>91585</v>
      </c>
      <c r="E33" s="1" t="n">
        <v>9783.4</v>
      </c>
    </row>
    <row r="34" customFormat="false" ht="15" hidden="false" customHeight="true" outlineLevel="0" collapsed="false">
      <c r="A34" s="1" t="n">
        <v>2040</v>
      </c>
      <c r="B34" s="1" t="n">
        <v>16100</v>
      </c>
      <c r="C34" s="1" t="n">
        <v>17351</v>
      </c>
      <c r="D34" s="1" t="n">
        <v>92525</v>
      </c>
      <c r="E34" s="1" t="n">
        <v>10031</v>
      </c>
    </row>
    <row r="35" customFormat="false" ht="15" hidden="false" customHeight="true" outlineLevel="0" collapsed="false">
      <c r="A35" s="1" t="n">
        <v>2041</v>
      </c>
      <c r="B35" s="1" t="n">
        <v>16100</v>
      </c>
      <c r="C35" s="1" t="n">
        <v>17545</v>
      </c>
      <c r="D35" s="1" t="n">
        <v>93515</v>
      </c>
      <c r="E35" s="1" t="n">
        <v>10347.9</v>
      </c>
    </row>
    <row r="36" customFormat="false" ht="15" hidden="false" customHeight="true" outlineLevel="0" collapsed="false">
      <c r="A36" s="1" t="n">
        <v>2042</v>
      </c>
      <c r="B36" s="1" t="n">
        <v>16100</v>
      </c>
      <c r="C36" s="1" t="n">
        <v>17739</v>
      </c>
      <c r="D36" s="1" t="n">
        <v>94505</v>
      </c>
      <c r="E36" s="1" t="n">
        <v>10664.9</v>
      </c>
    </row>
    <row r="37" customFormat="false" ht="15" hidden="false" customHeight="true" outlineLevel="0" collapsed="false">
      <c r="A37" s="1" t="n">
        <v>2043</v>
      </c>
      <c r="B37" s="1" t="n">
        <v>16100</v>
      </c>
      <c r="C37" s="1" t="n">
        <v>17932</v>
      </c>
      <c r="D37" s="1" t="n">
        <v>95494</v>
      </c>
      <c r="E37" s="1" t="n">
        <v>10981.8</v>
      </c>
    </row>
    <row r="38" customFormat="false" ht="15" hidden="false" customHeight="true" outlineLevel="0" collapsed="false">
      <c r="A38" s="1" t="n">
        <v>2044</v>
      </c>
      <c r="B38" s="1" t="n">
        <v>16100</v>
      </c>
      <c r="C38" s="1" t="n">
        <v>18126</v>
      </c>
      <c r="D38" s="1" t="n">
        <v>96484</v>
      </c>
      <c r="E38" s="1" t="n">
        <v>11298.8</v>
      </c>
    </row>
    <row r="39" customFormat="false" ht="15" hidden="false" customHeight="true" outlineLevel="0" collapsed="false">
      <c r="A39" s="1" t="n">
        <v>2045</v>
      </c>
      <c r="B39" s="1" t="n">
        <v>16100</v>
      </c>
      <c r="C39" s="1" t="n">
        <v>18320</v>
      </c>
      <c r="D39" s="1" t="n">
        <v>97474</v>
      </c>
      <c r="E39" s="1" t="n">
        <v>11615.7</v>
      </c>
    </row>
    <row r="41" customFormat="false" ht="15" hidden="false" customHeight="true" outlineLevel="0" collapsed="false">
      <c r="A41" s="19" t="s">
        <v>767</v>
      </c>
    </row>
    <row r="42" customFormat="false" ht="15" hidden="false" customHeight="true" outlineLevel="0" collapsed="false">
      <c r="A42" s="4" t="s">
        <v>768</v>
      </c>
      <c r="B42" s="1" t="n">
        <f aca="false">SUMPRODUCT(E20:E39,1/(1.045^(ROW(E20:E39)-ROW(E20))))</f>
        <v>96768.9241820479</v>
      </c>
    </row>
    <row r="43" customFormat="false" ht="15" hidden="false" customHeight="true" outlineLevel="0" collapsed="false">
      <c r="A43" s="4" t="s">
        <v>769</v>
      </c>
      <c r="B43" s="1" t="n">
        <f aca="false">119818/(1.045^0)+125136/(1.045^1)+130462/(1.045^2)+135796/(1.045^3)+141138/(1.045^4)+146489/(1.045^5)+151848/(1.045^6)+157216/(1.045^7)+162592/(1.045^8)+163469/(1.045^9)+164355/(1.045^10)+165249/(1.045^11)+166153/(1.045^12)+167065/(1.045^13)+167987/(1.045^14)+168918/(1.045^15)+169858/(1.045^16)+170808/(1.045^17)+171767/(1.045^18)+172736/(1.045^19)</f>
        <v>2065725.62539457</v>
      </c>
    </row>
    <row r="44" customFormat="false" ht="15" hidden="false" customHeight="true" outlineLevel="0" collapsed="false">
      <c r="A44" s="4" t="s">
        <v>878</v>
      </c>
      <c r="B44" s="57" t="n">
        <f aca="false">B42*1000/B43</f>
        <v>46.8450035147161</v>
      </c>
    </row>
    <row r="46" customFormat="false" ht="15" hidden="false" customHeight="true" outlineLevel="0" collapsed="false">
      <c r="A46" s="30" t="s">
        <v>879</v>
      </c>
    </row>
    <row r="47" customFormat="false" ht="15" hidden="false" customHeight="true" outlineLevel="0" collapsed="false">
      <c r="A47" s="30" t="s">
        <v>876</v>
      </c>
    </row>
    <row r="48" customFormat="false" ht="294" hidden="false" customHeight="true" outlineLevel="0" collapsed="false">
      <c r="A48" s="61" t="s">
        <v>880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4"/>
  </cols>
  <sheetData>
    <row r="1" customFormat="false" ht="19.5" hidden="false" customHeight="true" outlineLevel="0" collapsed="false">
      <c r="A1" s="2" t="s">
        <v>881</v>
      </c>
    </row>
    <row r="2" customFormat="false" ht="15" hidden="false" customHeight="true" outlineLevel="0" collapsed="false">
      <c r="A2" s="3" t="s">
        <v>882</v>
      </c>
    </row>
    <row r="4" customFormat="false" ht="15" hidden="false" customHeight="true" outlineLevel="0" collapsed="false">
      <c r="A4" s="19" t="s">
        <v>775</v>
      </c>
    </row>
    <row r="5" customFormat="false" ht="15" hidden="false" customHeight="true" outlineLevel="0" collapsed="false">
      <c r="A5" s="30" t="s">
        <v>883</v>
      </c>
    </row>
    <row r="6" customFormat="false" ht="15" hidden="false" customHeight="true" outlineLevel="0" collapsed="false">
      <c r="A6" s="30" t="s">
        <v>884</v>
      </c>
    </row>
    <row r="8" customFormat="false" ht="15" hidden="false" customHeight="true" outlineLevel="0" collapsed="false">
      <c r="A8" s="30" t="s">
        <v>885</v>
      </c>
    </row>
    <row r="9" customFormat="false" ht="15" hidden="false" customHeight="true" outlineLevel="0" collapsed="false">
      <c r="A9" s="30" t="s">
        <v>886</v>
      </c>
    </row>
    <row r="10" customFormat="false" ht="15" hidden="false" customHeight="true" outlineLevel="0" collapsed="false">
      <c r="A10" s="30" t="s">
        <v>887</v>
      </c>
    </row>
    <row r="12" customFormat="false" ht="15" hidden="false" customHeight="true" outlineLevel="0" collapsed="false">
      <c r="A12" s="30" t="s">
        <v>888</v>
      </c>
    </row>
    <row r="13" customFormat="false" ht="15" hidden="false" customHeight="true" outlineLevel="0" collapsed="false">
      <c r="A13" s="30" t="s">
        <v>889</v>
      </c>
    </row>
    <row r="14" customFormat="false" ht="15" hidden="false" customHeight="true" outlineLevel="0" collapsed="false">
      <c r="A14" s="30" t="s">
        <v>890</v>
      </c>
    </row>
    <row r="16" customFormat="false" ht="15" hidden="false" customHeight="true" outlineLevel="0" collapsed="false">
      <c r="A16" s="19" t="s">
        <v>757</v>
      </c>
    </row>
    <row r="17" customFormat="false" ht="15" hidden="false" customHeight="true" outlineLevel="0" collapsed="false">
      <c r="A17" s="4" t="s">
        <v>758</v>
      </c>
      <c r="B17" s="4" t="s">
        <v>759</v>
      </c>
      <c r="C17" s="4" t="s">
        <v>760</v>
      </c>
      <c r="D17" s="4" t="s">
        <v>761</v>
      </c>
      <c r="E17" s="4" t="s">
        <v>762</v>
      </c>
      <c r="F17" s="4" t="s">
        <v>763</v>
      </c>
      <c r="G17" s="4" t="s">
        <v>822</v>
      </c>
    </row>
    <row r="18" customFormat="false" ht="15" hidden="false" customHeight="true" outlineLevel="0" collapsed="false">
      <c r="A18" s="1" t="n">
        <v>2030</v>
      </c>
      <c r="B18" s="1" t="n">
        <v>33548</v>
      </c>
      <c r="C18" s="1" t="n">
        <v>19625</v>
      </c>
      <c r="D18" s="1" t="n">
        <v>140212</v>
      </c>
      <c r="E18" s="1" t="n">
        <v>0</v>
      </c>
      <c r="F18" s="1" t="n">
        <v>46.34</v>
      </c>
      <c r="G18" s="51" t="s">
        <v>891</v>
      </c>
    </row>
    <row r="19" customFormat="false" ht="15" hidden="false" customHeight="true" outlineLevel="0" collapsed="false">
      <c r="A19" s="1" t="n">
        <v>2035</v>
      </c>
      <c r="B19" s="1" t="n">
        <v>45676</v>
      </c>
      <c r="C19" s="1" t="n">
        <v>36364</v>
      </c>
      <c r="D19" s="1" t="n">
        <v>207183</v>
      </c>
      <c r="E19" s="1" t="n">
        <v>0</v>
      </c>
      <c r="F19" s="1" t="n">
        <v>33.79</v>
      </c>
      <c r="G19" s="51" t="s">
        <v>892</v>
      </c>
    </row>
    <row r="20" customFormat="false" ht="15" hidden="false" customHeight="true" outlineLevel="0" collapsed="false">
      <c r="A20" s="1" t="n">
        <v>2040</v>
      </c>
      <c r="B20" s="1" t="n">
        <v>56213</v>
      </c>
      <c r="C20" s="1" t="n">
        <v>76318</v>
      </c>
      <c r="D20" s="1" t="n">
        <v>259613</v>
      </c>
      <c r="E20" s="1" t="n">
        <v>0</v>
      </c>
      <c r="F20" s="1" t="n">
        <v>17.4</v>
      </c>
      <c r="G20" s="51" t="s">
        <v>893</v>
      </c>
    </row>
    <row r="21" customFormat="false" ht="15" hidden="false" customHeight="true" outlineLevel="0" collapsed="false">
      <c r="A21" s="1" t="s">
        <v>826</v>
      </c>
      <c r="B21" s="1" t="n">
        <v>104498</v>
      </c>
      <c r="C21" s="1" t="n">
        <v>275821</v>
      </c>
      <c r="D21" s="1" t="n">
        <v>492971</v>
      </c>
      <c r="E21" s="1" t="n">
        <v>131641</v>
      </c>
      <c r="F21" s="1" t="n">
        <v>5</v>
      </c>
      <c r="G21" s="51" t="s">
        <v>894</v>
      </c>
    </row>
    <row r="23" customFormat="false" ht="15" hidden="false" customHeight="true" outlineLevel="0" collapsed="false">
      <c r="A23" s="19" t="s">
        <v>780</v>
      </c>
    </row>
    <row r="24" customFormat="false" ht="15" hidden="false" customHeight="true" outlineLevel="0" collapsed="false">
      <c r="A24" s="4" t="s">
        <v>758</v>
      </c>
      <c r="B24" s="4" t="s">
        <v>759</v>
      </c>
      <c r="C24" s="4" t="s">
        <v>760</v>
      </c>
      <c r="D24" s="4" t="s">
        <v>762</v>
      </c>
      <c r="E24" s="4" t="s">
        <v>766</v>
      </c>
    </row>
    <row r="25" customFormat="false" ht="15" hidden="false" customHeight="true" outlineLevel="0" collapsed="false">
      <c r="A25" s="1" t="n">
        <v>2026</v>
      </c>
      <c r="B25" s="1" t="n">
        <v>0</v>
      </c>
      <c r="C25" s="1" t="n">
        <v>0</v>
      </c>
      <c r="D25" s="1" t="n">
        <v>0</v>
      </c>
      <c r="E25" s="1" t="n">
        <v>0</v>
      </c>
    </row>
    <row r="26" customFormat="false" ht="15" hidden="false" customHeight="true" outlineLevel="0" collapsed="false">
      <c r="A26" s="1" t="n">
        <v>2027</v>
      </c>
      <c r="B26" s="1" t="n">
        <v>8387</v>
      </c>
      <c r="C26" s="1" t="n">
        <v>4906</v>
      </c>
      <c r="D26" s="1" t="n">
        <v>0</v>
      </c>
      <c r="E26" s="1" t="n">
        <v>977.3</v>
      </c>
    </row>
    <row r="27" customFormat="false" ht="15" hidden="false" customHeight="true" outlineLevel="0" collapsed="false">
      <c r="A27" s="1" t="n">
        <v>2028</v>
      </c>
      <c r="B27" s="1" t="n">
        <v>16774</v>
      </c>
      <c r="C27" s="1" t="n">
        <v>9812</v>
      </c>
      <c r="D27" s="1" t="n">
        <v>0</v>
      </c>
      <c r="E27" s="1" t="n">
        <v>1954.6</v>
      </c>
    </row>
    <row r="28" customFormat="false" ht="15" hidden="false" customHeight="true" outlineLevel="0" collapsed="false">
      <c r="A28" s="1" t="n">
        <v>2029</v>
      </c>
      <c r="B28" s="1" t="n">
        <v>25161</v>
      </c>
      <c r="C28" s="1" t="n">
        <v>14719</v>
      </c>
      <c r="D28" s="1" t="n">
        <v>0</v>
      </c>
      <c r="E28" s="1" t="n">
        <v>2931.9</v>
      </c>
    </row>
    <row r="29" customFormat="false" ht="15" hidden="false" customHeight="true" outlineLevel="0" collapsed="false">
      <c r="A29" s="1" t="n">
        <v>2030</v>
      </c>
      <c r="B29" s="1" t="n">
        <v>33548</v>
      </c>
      <c r="C29" s="1" t="n">
        <v>19625</v>
      </c>
      <c r="D29" s="1" t="n">
        <v>0</v>
      </c>
      <c r="E29" s="1" t="n">
        <v>3909.2</v>
      </c>
    </row>
    <row r="30" customFormat="false" ht="15" hidden="false" customHeight="true" outlineLevel="0" collapsed="false">
      <c r="A30" s="1" t="n">
        <v>2031</v>
      </c>
      <c r="B30" s="1" t="n">
        <v>35974</v>
      </c>
      <c r="C30" s="1" t="n">
        <v>22973</v>
      </c>
      <c r="D30" s="1" t="n">
        <v>0</v>
      </c>
      <c r="E30" s="1" t="n">
        <v>4322.7</v>
      </c>
    </row>
    <row r="31" customFormat="false" ht="15" hidden="false" customHeight="true" outlineLevel="0" collapsed="false">
      <c r="A31" s="1" t="n">
        <v>2032</v>
      </c>
      <c r="B31" s="1" t="n">
        <v>38399</v>
      </c>
      <c r="C31" s="1" t="n">
        <v>26321</v>
      </c>
      <c r="D31" s="1" t="n">
        <v>0</v>
      </c>
      <c r="E31" s="1" t="n">
        <v>4736.2</v>
      </c>
    </row>
    <row r="32" customFormat="false" ht="15" hidden="false" customHeight="true" outlineLevel="0" collapsed="false">
      <c r="A32" s="1" t="n">
        <v>2033</v>
      </c>
      <c r="B32" s="1" t="n">
        <v>40825</v>
      </c>
      <c r="C32" s="1" t="n">
        <v>29668</v>
      </c>
      <c r="D32" s="1" t="n">
        <v>0</v>
      </c>
      <c r="E32" s="1" t="n">
        <v>5149.7</v>
      </c>
    </row>
    <row r="33" customFormat="false" ht="15" hidden="false" customHeight="true" outlineLevel="0" collapsed="false">
      <c r="A33" s="1" t="n">
        <v>2034</v>
      </c>
      <c r="B33" s="1" t="n">
        <v>43250</v>
      </c>
      <c r="C33" s="1" t="n">
        <v>33016</v>
      </c>
      <c r="D33" s="1" t="n">
        <v>0</v>
      </c>
      <c r="E33" s="1" t="n">
        <v>5563.2</v>
      </c>
    </row>
    <row r="34" customFormat="false" ht="15" hidden="false" customHeight="true" outlineLevel="0" collapsed="false">
      <c r="A34" s="1" t="n">
        <v>2035</v>
      </c>
      <c r="B34" s="1" t="n">
        <v>45676</v>
      </c>
      <c r="C34" s="1" t="n">
        <v>36364</v>
      </c>
      <c r="D34" s="1" t="n">
        <v>0</v>
      </c>
      <c r="E34" s="1" t="n">
        <v>5976.7</v>
      </c>
    </row>
    <row r="35" customFormat="false" ht="15" hidden="false" customHeight="true" outlineLevel="0" collapsed="false">
      <c r="A35" s="1" t="n">
        <v>2036</v>
      </c>
      <c r="B35" s="1" t="n">
        <v>47783</v>
      </c>
      <c r="C35" s="1" t="n">
        <v>44355</v>
      </c>
      <c r="D35" s="1" t="n">
        <v>0</v>
      </c>
      <c r="E35" s="1" t="n">
        <v>6269.2</v>
      </c>
    </row>
    <row r="36" customFormat="false" ht="15" hidden="false" customHeight="true" outlineLevel="0" collapsed="false">
      <c r="A36" s="1" t="n">
        <v>2037</v>
      </c>
      <c r="B36" s="1" t="n">
        <v>49891</v>
      </c>
      <c r="C36" s="1" t="n">
        <v>52346</v>
      </c>
      <c r="D36" s="1" t="n">
        <v>0</v>
      </c>
      <c r="E36" s="1" t="n">
        <v>6561.7</v>
      </c>
    </row>
    <row r="37" customFormat="false" ht="15" hidden="false" customHeight="true" outlineLevel="0" collapsed="false">
      <c r="A37" s="1" t="n">
        <v>2038</v>
      </c>
      <c r="B37" s="1" t="n">
        <v>51998</v>
      </c>
      <c r="C37" s="1" t="n">
        <v>60336</v>
      </c>
      <c r="D37" s="1" t="n">
        <v>0</v>
      </c>
      <c r="E37" s="1" t="n">
        <v>6854.3</v>
      </c>
    </row>
    <row r="38" customFormat="false" ht="15" hidden="false" customHeight="true" outlineLevel="0" collapsed="false">
      <c r="A38" s="1" t="n">
        <v>2039</v>
      </c>
      <c r="B38" s="1" t="n">
        <v>54106</v>
      </c>
      <c r="C38" s="1" t="n">
        <v>68327</v>
      </c>
      <c r="D38" s="1" t="n">
        <v>0</v>
      </c>
      <c r="E38" s="1" t="n">
        <v>7146.8</v>
      </c>
    </row>
    <row r="39" customFormat="false" ht="15" hidden="false" customHeight="true" outlineLevel="0" collapsed="false">
      <c r="A39" s="1" t="n">
        <v>2040</v>
      </c>
      <c r="B39" s="1" t="n">
        <v>56213</v>
      </c>
      <c r="C39" s="1" t="n">
        <v>76318</v>
      </c>
      <c r="D39" s="1" t="n">
        <v>0</v>
      </c>
      <c r="E39" s="1" t="n">
        <v>7439.3</v>
      </c>
    </row>
    <row r="40" customFormat="false" ht="15" hidden="false" customHeight="true" outlineLevel="0" collapsed="false">
      <c r="A40" s="1" t="n">
        <v>2041</v>
      </c>
      <c r="B40" s="1" t="n">
        <v>72518</v>
      </c>
      <c r="C40" s="1" t="n">
        <v>101675</v>
      </c>
      <c r="D40" s="1" t="n">
        <v>510352</v>
      </c>
      <c r="E40" s="1" t="n">
        <v>9672.9</v>
      </c>
    </row>
    <row r="41" customFormat="false" ht="15" hidden="false" customHeight="true" outlineLevel="0" collapsed="false">
      <c r="A41" s="1" t="n">
        <v>2042</v>
      </c>
      <c r="B41" s="1" t="n">
        <v>88823</v>
      </c>
      <c r="C41" s="1" t="n">
        <v>127032</v>
      </c>
      <c r="D41" s="1" t="n">
        <v>1020703</v>
      </c>
      <c r="E41" s="1" t="n">
        <v>11906.4</v>
      </c>
    </row>
    <row r="42" customFormat="false" ht="15" hidden="false" customHeight="true" outlineLevel="0" collapsed="false">
      <c r="A42" s="1" t="n">
        <v>2043</v>
      </c>
      <c r="B42" s="1" t="n">
        <v>105128</v>
      </c>
      <c r="C42" s="1" t="n">
        <v>152389</v>
      </c>
      <c r="D42" s="1" t="n">
        <v>1531055</v>
      </c>
      <c r="E42" s="1" t="n">
        <v>14140</v>
      </c>
    </row>
    <row r="43" customFormat="false" ht="15" hidden="false" customHeight="true" outlineLevel="0" collapsed="false">
      <c r="A43" s="1" t="n">
        <v>2044</v>
      </c>
      <c r="B43" s="1" t="n">
        <v>121433</v>
      </c>
      <c r="C43" s="1" t="n">
        <v>177746</v>
      </c>
      <c r="D43" s="1" t="n">
        <v>2041406</v>
      </c>
      <c r="E43" s="1" t="n">
        <v>16373.5</v>
      </c>
    </row>
    <row r="44" customFormat="false" ht="15" hidden="false" customHeight="true" outlineLevel="0" collapsed="false">
      <c r="A44" s="1" t="n">
        <v>2045</v>
      </c>
      <c r="B44" s="1" t="n">
        <v>104498</v>
      </c>
      <c r="C44" s="1" t="n">
        <v>275821</v>
      </c>
      <c r="D44" s="1" t="n">
        <v>131641</v>
      </c>
      <c r="E44" s="1" t="n">
        <v>11821.9</v>
      </c>
    </row>
    <row r="46" customFormat="false" ht="15" hidden="false" customHeight="true" outlineLevel="0" collapsed="false">
      <c r="A46" s="19" t="s">
        <v>767</v>
      </c>
    </row>
    <row r="47" customFormat="false" ht="15" hidden="false" customHeight="true" outlineLevel="0" collapsed="false">
      <c r="A47" s="4" t="s">
        <v>768</v>
      </c>
      <c r="B47" s="1" t="n">
        <f aca="false">SUMPRODUCT(E25:E44,1/(1.045^(ROW(E25:E44)-ROW(E25))))</f>
        <v>77680.2739740445</v>
      </c>
    </row>
    <row r="48" customFormat="false" ht="15" hidden="false" customHeight="true" outlineLevel="0" collapsed="false">
      <c r="A48" s="4" t="s">
        <v>769</v>
      </c>
      <c r="B48" s="1" t="n">
        <f aca="false">119818/(1.045^0)+125136/(1.045^1)+130462/(1.045^2)+135796/(1.045^3)+141138/(1.045^4)+146489/(1.045^5)+151848/(1.045^6)+157216/(1.045^7)+162592/(1.045^8)+163469/(1.045^9)+164355/(1.045^10)+165249/(1.045^11)+166153/(1.045^12)+167065/(1.045^13)+167987/(1.045^14)+168918/(1.045^15)+169858/(1.045^16)+170808/(1.045^17)+171767/(1.045^18)+172736/(1.045^19)</f>
        <v>2065725.62539457</v>
      </c>
    </row>
    <row r="49" customFormat="false" ht="15" hidden="false" customHeight="true" outlineLevel="0" collapsed="false">
      <c r="A49" s="4" t="s">
        <v>895</v>
      </c>
      <c r="B49" s="57" t="n">
        <f aca="false">B47*1000/B48</f>
        <v>37.6043522039413</v>
      </c>
    </row>
    <row r="51" customFormat="false" ht="15" hidden="false" customHeight="true" outlineLevel="0" collapsed="false">
      <c r="A51" s="30" t="s">
        <v>896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4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2"/>
    <col collapsed="false" customWidth="true" hidden="false" outlineLevel="0" max="2" min="2" style="1" width="32"/>
    <col collapsed="false" customWidth="true" hidden="false" outlineLevel="0" max="3" min="3" style="1" width="10.51"/>
  </cols>
  <sheetData>
    <row r="1" customFormat="false" ht="19.5" hidden="false" customHeight="true" outlineLevel="0" collapsed="false">
      <c r="A1" s="62" t="s">
        <v>897</v>
      </c>
    </row>
    <row r="2" customFormat="false" ht="15" hidden="false" customHeight="true" outlineLevel="0" collapsed="false">
      <c r="A2" s="63" t="s">
        <v>898</v>
      </c>
    </row>
    <row r="4" customFormat="false" ht="15" hidden="false" customHeight="true" outlineLevel="0" collapsed="false">
      <c r="A4" s="64" t="s">
        <v>899</v>
      </c>
    </row>
    <row r="5" customFormat="false" ht="15" hidden="false" customHeight="true" outlineLevel="0" collapsed="false">
      <c r="A5" s="64" t="s">
        <v>900</v>
      </c>
    </row>
    <row r="6" customFormat="false" ht="15" hidden="false" customHeight="true" outlineLevel="0" collapsed="false">
      <c r="A6" s="64" t="s">
        <v>901</v>
      </c>
    </row>
    <row r="165" customFormat="false" ht="15" hidden="false" customHeight="true" outlineLevel="0" collapsed="false">
      <c r="A165" s="19" t="s">
        <v>902</v>
      </c>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row>
    <row r="166" customFormat="false" ht="15" hidden="false" customHeight="true" outlineLevel="0" collapsed="false">
      <c r="A166" s="41" t="s">
        <v>903</v>
      </c>
    </row>
    <row r="168" customFormat="false" ht="15" hidden="false" customHeight="true" outlineLevel="0" collapsed="false">
      <c r="A168" s="4" t="s">
        <v>904</v>
      </c>
    </row>
    <row r="169" customFormat="false" ht="15" hidden="false" customHeight="true" outlineLevel="0" collapsed="false">
      <c r="A169" s="41" t="s">
        <v>905</v>
      </c>
      <c r="B169" s="65" t="n">
        <v>2.2</v>
      </c>
    </row>
    <row r="170" customFormat="false" ht="15" hidden="false" customHeight="true" outlineLevel="0" collapsed="false">
      <c r="A170" s="41" t="s">
        <v>906</v>
      </c>
      <c r="B170" s="43" t="n">
        <v>0.152</v>
      </c>
    </row>
    <row r="171" customFormat="false" ht="15" hidden="false" customHeight="true" outlineLevel="0" collapsed="false">
      <c r="A171" s="41" t="s">
        <v>907</v>
      </c>
      <c r="B171" s="65" t="n">
        <v>18</v>
      </c>
    </row>
    <row r="172" customFormat="false" ht="15" hidden="false" customHeight="true" outlineLevel="0" collapsed="false">
      <c r="A172" s="41" t="s">
        <v>908</v>
      </c>
      <c r="B172" s="43" t="n">
        <v>0.07</v>
      </c>
    </row>
    <row r="174" customFormat="false" ht="15" hidden="false" customHeight="true" outlineLevel="0" collapsed="false">
      <c r="A174" s="4" t="s">
        <v>909</v>
      </c>
    </row>
    <row r="175" customFormat="false" ht="15" hidden="false" customHeight="true" outlineLevel="0" collapsed="false">
      <c r="A175" s="41" t="s">
        <v>910</v>
      </c>
      <c r="B175" s="65" t="n">
        <v>3.8</v>
      </c>
    </row>
    <row r="176" customFormat="false" ht="15" hidden="false" customHeight="true" outlineLevel="0" collapsed="false">
      <c r="A176" s="41" t="s">
        <v>911</v>
      </c>
      <c r="B176" s="43" t="n">
        <v>0.38</v>
      </c>
    </row>
    <row r="177" customFormat="false" ht="15" hidden="false" customHeight="true" outlineLevel="0" collapsed="false">
      <c r="A177" s="41" t="s">
        <v>912</v>
      </c>
      <c r="B177" s="65" t="n">
        <v>16</v>
      </c>
    </row>
    <row r="178" customFormat="false" ht="15" hidden="false" customHeight="true" outlineLevel="0" collapsed="false">
      <c r="A178" s="41" t="s">
        <v>913</v>
      </c>
      <c r="B178" s="43" t="n">
        <v>0.08</v>
      </c>
    </row>
    <row r="180" customFormat="false" ht="15" hidden="false" customHeight="true" outlineLevel="0" collapsed="false">
      <c r="A180" s="4" t="s">
        <v>914</v>
      </c>
    </row>
    <row r="181" customFormat="false" ht="15" hidden="false" customHeight="true" outlineLevel="0" collapsed="false">
      <c r="A181" s="41" t="s">
        <v>915</v>
      </c>
      <c r="C181" s="66" t="n">
        <v>0.228</v>
      </c>
      <c r="D181" s="66" t="n">
        <v>0.228</v>
      </c>
      <c r="E181" s="66" t="n">
        <v>0.228</v>
      </c>
      <c r="F181" s="66" t="n">
        <v>0.228</v>
      </c>
      <c r="G181" s="66" t="n">
        <v>0.228</v>
      </c>
      <c r="H181" s="66" t="n">
        <v>0.228</v>
      </c>
      <c r="I181" s="66" t="n">
        <v>0.228</v>
      </c>
      <c r="J181" s="66" t="n">
        <v>0.228</v>
      </c>
      <c r="K181" s="66" t="n">
        <v>0.228</v>
      </c>
      <c r="L181" s="66" t="n">
        <v>0.228</v>
      </c>
      <c r="M181" s="66" t="n">
        <v>0.228</v>
      </c>
      <c r="N181" s="66" t="n">
        <v>0.228</v>
      </c>
      <c r="O181" s="66" t="n">
        <v>0.228</v>
      </c>
      <c r="P181" s="66" t="n">
        <v>0.228</v>
      </c>
      <c r="Q181" s="66" t="n">
        <v>0.228</v>
      </c>
      <c r="R181" s="66" t="n">
        <v>0.228</v>
      </c>
      <c r="S181" s="66" t="n">
        <v>0.228</v>
      </c>
      <c r="T181" s="66" t="n">
        <v>0.228</v>
      </c>
      <c r="U181" s="66" t="n">
        <v>0.228</v>
      </c>
      <c r="V181" s="66" t="n">
        <v>0.228</v>
      </c>
      <c r="W181" s="66" t="n">
        <v>0.228</v>
      </c>
      <c r="X181" s="66" t="n">
        <v>0.228</v>
      </c>
      <c r="Y181" s="66" t="n">
        <v>0.228</v>
      </c>
      <c r="Z181" s="66" t="n">
        <v>0.228</v>
      </c>
      <c r="AA181" s="66" t="n">
        <v>0.228</v>
      </c>
    </row>
    <row r="182" customFormat="false" ht="15" hidden="false" customHeight="true" outlineLevel="0" collapsed="false">
      <c r="A182" s="41" t="s">
        <v>916</v>
      </c>
      <c r="C182" s="67" t="n">
        <f aca="false">C181*8.76</f>
        <v>1.99728</v>
      </c>
      <c r="D182" s="67" t="n">
        <f aca="false">D181*8.76</f>
        <v>1.99728</v>
      </c>
      <c r="E182" s="67" t="n">
        <f aca="false">E181*8.76</f>
        <v>1.99728</v>
      </c>
      <c r="F182" s="67" t="n">
        <f aca="false">F181*8.76</f>
        <v>1.99728</v>
      </c>
      <c r="G182" s="67" t="n">
        <f aca="false">G181*8.76</f>
        <v>1.99728</v>
      </c>
      <c r="H182" s="67" t="n">
        <f aca="false">H181*8.76</f>
        <v>1.99728</v>
      </c>
      <c r="I182" s="67" t="n">
        <f aca="false">I181*8.76</f>
        <v>1.99728</v>
      </c>
      <c r="J182" s="67" t="n">
        <f aca="false">J181*8.76</f>
        <v>1.99728</v>
      </c>
      <c r="K182" s="67" t="n">
        <f aca="false">K181*8.76</f>
        <v>1.99728</v>
      </c>
      <c r="L182" s="67" t="n">
        <f aca="false">L181*8.76</f>
        <v>1.99728</v>
      </c>
      <c r="M182" s="67" t="n">
        <f aca="false">M181*8.76</f>
        <v>1.99728</v>
      </c>
      <c r="N182" s="67" t="n">
        <f aca="false">N181*8.76</f>
        <v>1.99728</v>
      </c>
      <c r="O182" s="67" t="n">
        <f aca="false">O181*8.76</f>
        <v>1.99728</v>
      </c>
      <c r="P182" s="67" t="n">
        <f aca="false">P181*8.76</f>
        <v>1.99728</v>
      </c>
      <c r="Q182" s="67" t="n">
        <f aca="false">Q181*8.76</f>
        <v>1.99728</v>
      </c>
      <c r="R182" s="67" t="n">
        <f aca="false">R181*8.76</f>
        <v>1.99728</v>
      </c>
      <c r="S182" s="67" t="n">
        <f aca="false">S181*8.76</f>
        <v>1.99728</v>
      </c>
      <c r="T182" s="67" t="n">
        <f aca="false">T181*8.76</f>
        <v>1.99728</v>
      </c>
      <c r="U182" s="67" t="n">
        <f aca="false">U181*8.76</f>
        <v>1.99728</v>
      </c>
      <c r="V182" s="67" t="n">
        <f aca="false">V181*8.76</f>
        <v>1.99728</v>
      </c>
      <c r="W182" s="67" t="n">
        <f aca="false">W181*8.76</f>
        <v>1.99728</v>
      </c>
      <c r="X182" s="67" t="n">
        <f aca="false">X181*8.76</f>
        <v>1.99728</v>
      </c>
      <c r="Y182" s="67" t="n">
        <f aca="false">Y181*8.76</f>
        <v>1.99728</v>
      </c>
      <c r="Z182" s="67" t="n">
        <f aca="false">Z181*8.76</f>
        <v>1.99728</v>
      </c>
      <c r="AA182" s="67" t="n">
        <f aca="false">AA181*8.76</f>
        <v>1.99728</v>
      </c>
    </row>
    <row r="183" customFormat="false" ht="15" hidden="false" customHeight="true" outlineLevel="0" collapsed="false">
      <c r="A183" s="41" t="s">
        <v>917</v>
      </c>
      <c r="C183" s="68" t="n">
        <v>55.8</v>
      </c>
      <c r="D183" s="68" t="n">
        <v>55.8</v>
      </c>
      <c r="E183" s="68" t="n">
        <v>55.8</v>
      </c>
      <c r="F183" s="68" t="n">
        <v>55.8</v>
      </c>
      <c r="G183" s="68" t="n">
        <v>55.8</v>
      </c>
      <c r="H183" s="68" t="n">
        <v>55.8</v>
      </c>
      <c r="I183" s="68" t="n">
        <v>55.8</v>
      </c>
      <c r="J183" s="68" t="n">
        <v>55.8</v>
      </c>
      <c r="K183" s="68" t="n">
        <v>55.8</v>
      </c>
      <c r="L183" s="68" t="n">
        <v>55.8</v>
      </c>
      <c r="M183" s="68" t="n">
        <v>55.8</v>
      </c>
      <c r="N183" s="68" t="n">
        <v>55.8</v>
      </c>
      <c r="O183" s="68" t="n">
        <v>55.8</v>
      </c>
      <c r="P183" s="68" t="n">
        <v>55.8</v>
      </c>
      <c r="Q183" s="68" t="n">
        <v>55.8</v>
      </c>
      <c r="R183" s="68" t="n">
        <v>55.8</v>
      </c>
      <c r="S183" s="68" t="n">
        <v>55.8</v>
      </c>
      <c r="T183" s="68" t="n">
        <v>55.8</v>
      </c>
      <c r="U183" s="68" t="n">
        <v>55.8</v>
      </c>
      <c r="V183" s="68" t="n">
        <v>55.8</v>
      </c>
      <c r="W183" s="68" t="n">
        <v>55.8</v>
      </c>
      <c r="X183" s="68" t="n">
        <v>55.8</v>
      </c>
      <c r="Y183" s="68" t="n">
        <v>55.8</v>
      </c>
      <c r="Z183" s="68" t="n">
        <v>55.8</v>
      </c>
      <c r="AA183" s="68" t="n">
        <v>55.8</v>
      </c>
    </row>
    <row r="184" customFormat="false" ht="15" hidden="false" customHeight="true" outlineLevel="0" collapsed="false">
      <c r="A184" s="41" t="s">
        <v>918</v>
      </c>
      <c r="C184" s="69" t="n">
        <f aca="false">(0.11+0.5*0.5)*121000/1000</f>
        <v>43.56</v>
      </c>
      <c r="D184" s="69" t="n">
        <f aca="false">(0.102008809152648+0.5*0.481270420989871)*121000/1000</f>
        <v>41.4599263773576</v>
      </c>
      <c r="E184" s="69" t="n">
        <f aca="false">(0.0945981558612846+0.5*0.463242436239535)*115250/1000</f>
        <v>37.5967828513163</v>
      </c>
      <c r="F184" s="69" t="n">
        <f aca="false">(0.0877258657040564+0.5*0.445889764618748)*109500/1000</f>
        <v>34.0184469074706</v>
      </c>
      <c r="G184" s="69" t="n">
        <f aca="false">(0.0813528281123263+0.5*0.429187109466279)*103750/1000</f>
        <v>30.7044372202171</v>
      </c>
      <c r="H184" s="69" t="n">
        <f aca="false">(0.0754427737903496+0.5*0.413110121712523)*98000/1000</f>
        <v>27.6357877953679</v>
      </c>
      <c r="I184" s="69" t="n">
        <f aca="false">(0.0699620683047831+0.5*0.397635364383525)*92250/1000</f>
        <v>24.7949319833063</v>
      </c>
      <c r="J184" s="69" t="n">
        <f aca="false">(0.0648795206693375+0.5*0.38274027843464)*86500/1000</f>
        <v>22.1655955801959</v>
      </c>
      <c r="K184" s="69" t="n">
        <f aca="false">(0.0601662058352156+0.5*0.368403149864039)*80750/1000</f>
        <v>19.7326982969542</v>
      </c>
      <c r="L184" s="69" t="n">
        <f aca="false">(0.0557953000771221+0.5*0.354603078058121)*75000/1000</f>
        <v>17.4822629329637</v>
      </c>
      <c r="M184" s="69" t="n">
        <f aca="false">(0.0517419283380169+0.5*0.341319945322671)*75000/1000</f>
        <v>16.6801425749514</v>
      </c>
      <c r="N184" s="69" t="n">
        <f aca="false">(0.0479830226638431+0.5*0.328534387555363)*75000/1000</f>
        <v>15.9187662331143</v>
      </c>
      <c r="O184" s="69" t="n">
        <f aca="false">(0.044497190922574+0.5*0.316227766016838)*75000/1000</f>
        <v>15.1958305448245</v>
      </c>
      <c r="P184" s="69" t="n">
        <f aca="false">(0.0412645950604525+0.5*0.30438214015922)*75000/1000</f>
        <v>14.5091748855047</v>
      </c>
      <c r="Q184" s="69" t="n">
        <f aca="false">(0.0382668382025727+0.5*0.292980241472451)*75000/1000</f>
        <v>13.8567719204099</v>
      </c>
      <c r="R184" s="69" t="n">
        <f aca="false">(0.0354868599552862+0.5*0.282005448310321)*75000/1000</f>
        <v>13.2367188082835</v>
      </c>
      <c r="S184" s="69" t="n">
        <f aca="false">(0.0329088393145957+0.5*0.271441761659491)*75000/1000</f>
        <v>12.6472290108256</v>
      </c>
      <c r="T184" s="69" t="n">
        <f aca="false">(0.0305181046279795+0.5*0.26127378181619)*75000/1000</f>
        <v>12.0866246652056</v>
      </c>
      <c r="U184" s="69" t="n">
        <f aca="false">(0.0283010500972372+0.5*0.251486685936587)*75000/1000</f>
        <v>11.5533294799148</v>
      </c>
      <c r="V184" s="69" t="n">
        <f aca="false">(0.0262450583471691+0.5*0.242066206428097)*75000/1000</f>
        <v>11.0458621170913</v>
      </c>
      <c r="W184" s="69" t="n">
        <f aca="false">(0.0243384286194225+0.5*0.232998610150143)*75000/1000</f>
        <v>10.5628300270871</v>
      </c>
      <c r="X184" s="69" t="n">
        <f aca="false">(0.0225703101828546+0.5*0.224270678394028)*75000/1000</f>
        <v>10.1029237034901</v>
      </c>
      <c r="Y184" s="69" t="n">
        <f aca="false">(0.0209306405814443+0.5*0.215869687612755)*75000/1000</f>
        <v>9.66491132908664</v>
      </c>
      <c r="Z184" s="69" t="n">
        <f aca="false">(0.0194100883683202+0.5*0.207783390872685)*75000/1000</f>
        <v>9.2476337853497</v>
      </c>
      <c r="AA184" s="69" t="n">
        <f aca="false">(0.018+0.5*0.2)*75000/1000</f>
        <v>8.85</v>
      </c>
    </row>
    <row r="186" customFormat="false" ht="15" hidden="false" customHeight="true" outlineLevel="0" collapsed="false">
      <c r="A186" s="4" t="s">
        <v>919</v>
      </c>
    </row>
    <row r="187" customFormat="false" ht="15" hidden="false" customHeight="true" outlineLevel="0" collapsed="false">
      <c r="A187" s="41" t="s">
        <v>920</v>
      </c>
      <c r="C187" s="69" t="n">
        <f aca="false">C182*C183+C184</f>
        <v>155.008224</v>
      </c>
      <c r="D187" s="69" t="n">
        <f aca="false">D182*D183+D184</f>
        <v>152.908150377358</v>
      </c>
      <c r="E187" s="69" t="n">
        <f aca="false">E182*E183+E184</f>
        <v>149.045006851316</v>
      </c>
      <c r="F187" s="69" t="n">
        <f aca="false">F182*F183+F184</f>
        <v>145.466670907471</v>
      </c>
      <c r="G187" s="69" t="n">
        <f aca="false">G182*G183+G184</f>
        <v>142.152661220217</v>
      </c>
      <c r="H187" s="69" t="n">
        <f aca="false">H182*H183+H184</f>
        <v>139.084011795368</v>
      </c>
      <c r="I187" s="69" t="n">
        <f aca="false">I182*I183+I184</f>
        <v>136.243155983306</v>
      </c>
      <c r="J187" s="69" t="n">
        <f aca="false">J182*J183+J184</f>
        <v>133.613819580196</v>
      </c>
      <c r="K187" s="69" t="n">
        <f aca="false">K182*K183+K184</f>
        <v>131.180922296954</v>
      </c>
      <c r="L187" s="69" t="n">
        <f aca="false">L182*L183+L184</f>
        <v>128.930486932964</v>
      </c>
      <c r="M187" s="69" t="n">
        <f aca="false">M182*M183+M184</f>
        <v>128.128366574951</v>
      </c>
      <c r="N187" s="69" t="n">
        <f aca="false">N182*N183+N184</f>
        <v>127.366990233114</v>
      </c>
      <c r="O187" s="69" t="n">
        <f aca="false">O182*O183+O184</f>
        <v>126.644054544824</v>
      </c>
      <c r="P187" s="69" t="n">
        <f aca="false">P182*P183+P184</f>
        <v>125.957398885505</v>
      </c>
      <c r="Q187" s="69" t="n">
        <f aca="false">Q182*Q183+Q184</f>
        <v>125.30499592041</v>
      </c>
      <c r="R187" s="69" t="n">
        <f aca="false">R182*R183+R184</f>
        <v>124.684942808284</v>
      </c>
      <c r="S187" s="69" t="n">
        <f aca="false">S182*S183+S184</f>
        <v>124.095453010826</v>
      </c>
      <c r="T187" s="69" t="n">
        <f aca="false">T182*T183+T184</f>
        <v>123.534848665206</v>
      </c>
      <c r="U187" s="69" t="n">
        <f aca="false">U182*U183+U184</f>
        <v>123.001553479915</v>
      </c>
      <c r="V187" s="69" t="n">
        <f aca="false">V182*V183+V184</f>
        <v>122.494086117091</v>
      </c>
      <c r="W187" s="69" t="n">
        <f aca="false">W182*W183+W184</f>
        <v>122.011054027087</v>
      </c>
      <c r="X187" s="69" t="n">
        <f aca="false">X182*X183+X184</f>
        <v>121.55114770349</v>
      </c>
      <c r="Y187" s="69" t="n">
        <f aca="false">Y182*Y183+Y184</f>
        <v>121.113135329087</v>
      </c>
      <c r="Z187" s="69" t="n">
        <f aca="false">Z182*Z183+Z184</f>
        <v>120.69585778535</v>
      </c>
      <c r="AA187" s="69" t="n">
        <f aca="false">AA182*AA183+AA184</f>
        <v>120.298224</v>
      </c>
    </row>
    <row r="188" customFormat="false" ht="15" hidden="false" customHeight="true" outlineLevel="0" collapsed="false">
      <c r="A188" s="41" t="s">
        <v>921</v>
      </c>
      <c r="C188" s="69" t="n">
        <f aca="false">$B$171</f>
        <v>18</v>
      </c>
      <c r="D188" s="69" t="n">
        <f aca="false">$B$171</f>
        <v>18</v>
      </c>
      <c r="E188" s="69" t="n">
        <f aca="false">$B$171</f>
        <v>18</v>
      </c>
      <c r="F188" s="69" t="n">
        <f aca="false">$B$171</f>
        <v>18</v>
      </c>
      <c r="G188" s="69" t="n">
        <f aca="false">$B$171</f>
        <v>18</v>
      </c>
      <c r="H188" s="69" t="n">
        <f aca="false">$B$171</f>
        <v>18</v>
      </c>
      <c r="I188" s="69" t="n">
        <f aca="false">$B$171</f>
        <v>18</v>
      </c>
      <c r="J188" s="69" t="n">
        <f aca="false">$B$171</f>
        <v>18</v>
      </c>
      <c r="K188" s="69" t="n">
        <f aca="false">$B$171</f>
        <v>18</v>
      </c>
      <c r="L188" s="69" t="n">
        <f aca="false">$B$171</f>
        <v>18</v>
      </c>
      <c r="M188" s="69" t="n">
        <f aca="false">$B$171</f>
        <v>18</v>
      </c>
      <c r="N188" s="69" t="n">
        <f aca="false">$B$171</f>
        <v>18</v>
      </c>
      <c r="O188" s="69" t="n">
        <f aca="false">$B$171</f>
        <v>18</v>
      </c>
      <c r="P188" s="69" t="n">
        <f aca="false">$B$171</f>
        <v>18</v>
      </c>
      <c r="Q188" s="69" t="n">
        <f aca="false">$B$171</f>
        <v>18</v>
      </c>
      <c r="R188" s="69" t="n">
        <f aca="false">$B$171</f>
        <v>18</v>
      </c>
      <c r="S188" s="69" t="n">
        <f aca="false">$B$171</f>
        <v>18</v>
      </c>
      <c r="T188" s="69" t="n">
        <f aca="false">$B$171</f>
        <v>18</v>
      </c>
      <c r="U188" s="69" t="n">
        <f aca="false">$B$171</f>
        <v>18</v>
      </c>
      <c r="V188" s="69" t="n">
        <f aca="false">$B$171</f>
        <v>18</v>
      </c>
      <c r="W188" s="69" t="n">
        <f aca="false">$B$171</f>
        <v>18</v>
      </c>
      <c r="X188" s="69" t="n">
        <f aca="false">$B$171</f>
        <v>18</v>
      </c>
      <c r="Y188" s="69" t="n">
        <f aca="false">$B$171</f>
        <v>18</v>
      </c>
      <c r="Z188" s="69" t="n">
        <f aca="false">$B$171</f>
        <v>18</v>
      </c>
      <c r="AA188" s="69" t="n">
        <f aca="false">$B$171</f>
        <v>18</v>
      </c>
    </row>
    <row r="189" customFormat="false" ht="15" hidden="false" customHeight="true" outlineLevel="0" collapsed="false">
      <c r="A189" s="4" t="s">
        <v>922</v>
      </c>
      <c r="C189" s="69" t="n">
        <f aca="false">C187-C188</f>
        <v>137.008224</v>
      </c>
      <c r="D189" s="69" t="n">
        <f aca="false">D187-D188</f>
        <v>134.908150377358</v>
      </c>
      <c r="E189" s="69" t="n">
        <f aca="false">E187-E188</f>
        <v>131.045006851316</v>
      </c>
      <c r="F189" s="69" t="n">
        <f aca="false">F187-F188</f>
        <v>127.466670907471</v>
      </c>
      <c r="G189" s="69" t="n">
        <f aca="false">G187-G188</f>
        <v>124.152661220217</v>
      </c>
      <c r="H189" s="69" t="n">
        <f aca="false">H187-H188</f>
        <v>121.084011795368</v>
      </c>
      <c r="I189" s="69" t="n">
        <f aca="false">I187-I188</f>
        <v>118.243155983306</v>
      </c>
      <c r="J189" s="69" t="n">
        <f aca="false">J187-J188</f>
        <v>115.613819580196</v>
      </c>
      <c r="K189" s="69" t="n">
        <f aca="false">K187-K188</f>
        <v>113.180922296954</v>
      </c>
      <c r="L189" s="69" t="n">
        <f aca="false">L187-L188</f>
        <v>110.930486932964</v>
      </c>
      <c r="M189" s="69" t="n">
        <f aca="false">M187-M188</f>
        <v>110.128366574951</v>
      </c>
      <c r="N189" s="69" t="n">
        <f aca="false">N187-N188</f>
        <v>109.366990233114</v>
      </c>
      <c r="O189" s="69" t="n">
        <f aca="false">O187-O188</f>
        <v>108.644054544824</v>
      </c>
      <c r="P189" s="69" t="n">
        <f aca="false">P187-P188</f>
        <v>107.957398885505</v>
      </c>
      <c r="Q189" s="69" t="n">
        <f aca="false">Q187-Q188</f>
        <v>107.30499592041</v>
      </c>
      <c r="R189" s="69" t="n">
        <f aca="false">R187-R188</f>
        <v>106.684942808284</v>
      </c>
      <c r="S189" s="69" t="n">
        <f aca="false">S187-S188</f>
        <v>106.095453010826</v>
      </c>
      <c r="T189" s="69" t="n">
        <f aca="false">T187-T188</f>
        <v>105.534848665206</v>
      </c>
      <c r="U189" s="69" t="n">
        <f aca="false">U187-U188</f>
        <v>105.001553479915</v>
      </c>
      <c r="V189" s="69" t="n">
        <f aca="false">V187-V188</f>
        <v>104.494086117091</v>
      </c>
      <c r="W189" s="69" t="n">
        <f aca="false">W187-W188</f>
        <v>104.011054027087</v>
      </c>
      <c r="X189" s="69" t="n">
        <f aca="false">X187-X188</f>
        <v>103.55114770349</v>
      </c>
      <c r="Y189" s="69" t="n">
        <f aca="false">Y187-Y188</f>
        <v>103.113135329087</v>
      </c>
      <c r="Z189" s="69" t="n">
        <f aca="false">Z187-Z188</f>
        <v>102.69585778535</v>
      </c>
      <c r="AA189" s="69" t="n">
        <f aca="false">AA187-AA188</f>
        <v>102.298224</v>
      </c>
    </row>
    <row r="190" customFormat="false" ht="15" hidden="false" customHeight="true" outlineLevel="0" collapsed="false">
      <c r="A190" s="41" t="s">
        <v>923</v>
      </c>
      <c r="C190" s="67" t="n">
        <f aca="false">1/(1+$B$172)^(3-3+1)</f>
        <v>0.934579439252336</v>
      </c>
      <c r="D190" s="67" t="n">
        <f aca="false">1/(1+$B$172)^(4-3+1)</f>
        <v>0.873438728273212</v>
      </c>
      <c r="E190" s="67" t="n">
        <f aca="false">1/(1+$B$172)^(5-3+1)</f>
        <v>0.816297876890852</v>
      </c>
      <c r="F190" s="67" t="n">
        <f aca="false">1/(1+$B$172)^(6-3+1)</f>
        <v>0.762895212047525</v>
      </c>
      <c r="G190" s="67" t="n">
        <f aca="false">1/(1+$B$172)^(7-3+1)</f>
        <v>0.712986179483668</v>
      </c>
      <c r="H190" s="67" t="n">
        <f aca="false">1/(1+$B$172)^(8-3+1)</f>
        <v>0.666342223816512</v>
      </c>
      <c r="I190" s="67" t="n">
        <f aca="false">1/(1+$B$172)^(9-3+1)</f>
        <v>0.622749741884591</v>
      </c>
      <c r="J190" s="67" t="n">
        <f aca="false">1/(1+$B$172)^(10-3+1)</f>
        <v>0.582009104565038</v>
      </c>
      <c r="K190" s="67" t="n">
        <f aca="false">1/(1+$B$172)^(11-3+1)</f>
        <v>0.543933742584148</v>
      </c>
      <c r="L190" s="67" t="n">
        <f aca="false">1/(1+$B$172)^(12-3+1)</f>
        <v>0.508349292134718</v>
      </c>
      <c r="M190" s="67" t="n">
        <f aca="false">1/(1+$B$172)^(13-3+1)</f>
        <v>0.475092796387586</v>
      </c>
      <c r="N190" s="67" t="n">
        <f aca="false">1/(1+$B$172)^(14-3+1)</f>
        <v>0.444011959240735</v>
      </c>
      <c r="O190" s="67" t="n">
        <f aca="false">1/(1+$B$172)^(15-3+1)</f>
        <v>0.414964447888537</v>
      </c>
      <c r="P190" s="67" t="n">
        <f aca="false">1/(1+$B$172)^(16-3+1)</f>
        <v>0.387817241017325</v>
      </c>
      <c r="Q190" s="67" t="n">
        <f aca="false">1/(1+$B$172)^(17-3+1)</f>
        <v>0.362446019642359</v>
      </c>
      <c r="R190" s="67" t="n">
        <f aca="false">1/(1+$B$172)^(18-3+1)</f>
        <v>0.338734597796598</v>
      </c>
      <c r="S190" s="67" t="n">
        <f aca="false">1/(1+$B$172)^(19-3+1)</f>
        <v>0.31657439046411</v>
      </c>
      <c r="T190" s="67" t="n">
        <f aca="false">1/(1+$B$172)^(20-3+1)</f>
        <v>0.295863916321598</v>
      </c>
      <c r="U190" s="67" t="n">
        <f aca="false">1/(1+$B$172)^(21-3+1)</f>
        <v>0.276508333010839</v>
      </c>
      <c r="V190" s="67" t="n">
        <f aca="false">1/(1+$B$172)^(22-3+1)</f>
        <v>0.258419002813868</v>
      </c>
      <c r="W190" s="67" t="n">
        <f aca="false">1/(1+$B$172)^(23-3+1)</f>
        <v>0.241513086741933</v>
      </c>
      <c r="X190" s="67" t="n">
        <f aca="false">1/(1+$B$172)^(24-3+1)</f>
        <v>0.225713165179377</v>
      </c>
      <c r="Y190" s="67" t="n">
        <f aca="false">1/(1+$B$172)^(25-3+1)</f>
        <v>0.210946883345212</v>
      </c>
      <c r="Z190" s="67" t="n">
        <f aca="false">1/(1+$B$172)^(26-3+1)</f>
        <v>0.197146619948796</v>
      </c>
      <c r="AA190" s="67" t="n">
        <f aca="false">1/(1+$B$172)^(27-3+1)</f>
        <v>0.184249177522239</v>
      </c>
    </row>
    <row r="191" customFormat="false" ht="15" hidden="false" customHeight="true" outlineLevel="0" collapsed="false">
      <c r="A191" s="41" t="s">
        <v>924</v>
      </c>
      <c r="C191" s="69" t="n">
        <f aca="false">C189*C190</f>
        <v>128.045069158878</v>
      </c>
      <c r="D191" s="69" t="n">
        <f aca="false">D189*D190</f>
        <v>117.83400329929</v>
      </c>
      <c r="E191" s="69" t="n">
        <f aca="false">E189*E190</f>
        <v>106.971760869877</v>
      </c>
      <c r="F191" s="69" t="n">
        <f aca="false">F189*F190</f>
        <v>97.2437129309469</v>
      </c>
      <c r="G191" s="69" t="n">
        <f aca="false">G189*G190</f>
        <v>88.5191315961328</v>
      </c>
      <c r="H191" s="69" t="n">
        <f aca="false">H189*H190</f>
        <v>80.6833896883502</v>
      </c>
      <c r="I191" s="69" t="n">
        <f aca="false">I189*I190</f>
        <v>73.6358948682235</v>
      </c>
      <c r="J191" s="69" t="n">
        <f aca="false">J189*J190</f>
        <v>67.2882956092137</v>
      </c>
      <c r="K191" s="69" t="n">
        <f aca="false">K189*K190</f>
        <v>61.5629226541079</v>
      </c>
      <c r="L191" s="69" t="n">
        <f aca="false">L189*L190</f>
        <v>56.3914345085316</v>
      </c>
      <c r="M191" s="69" t="n">
        <f aca="false">M189*M190</f>
        <v>52.3211936376909</v>
      </c>
      <c r="N191" s="69" t="n">
        <f aca="false">N189*N190</f>
        <v>48.5602516096674</v>
      </c>
      <c r="O191" s="69" t="n">
        <f aca="false">O189*O190</f>
        <v>45.0834201105652</v>
      </c>
      <c r="P191" s="69" t="n">
        <f aca="false">P189*P190</f>
        <v>41.8677405831832</v>
      </c>
      <c r="Q191" s="69" t="n">
        <f aca="false">Q189*Q190</f>
        <v>38.8922686590922</v>
      </c>
      <c r="R191" s="69" t="n">
        <f aca="false">R189*R190</f>
        <v>36.1378811931169</v>
      </c>
      <c r="S191" s="69" t="n">
        <f aca="false">S189*S190</f>
        <v>33.5871033679157</v>
      </c>
      <c r="T191" s="69" t="n">
        <f aca="false">T189*T190</f>
        <v>31.2239536344949</v>
      </c>
      <c r="U191" s="69" t="n">
        <f aca="false">U189*U190</f>
        <v>29.0338045162797</v>
      </c>
      <c r="V191" s="69" t="n">
        <f aca="false">V189*V190</f>
        <v>27.0032575343252</v>
      </c>
      <c r="W191" s="69" t="n">
        <f aca="false">W189*W190</f>
        <v>25.1200307133638</v>
      </c>
      <c r="X191" s="69" t="n">
        <f aca="false">X189*X190</f>
        <v>23.3728573061119</v>
      </c>
      <c r="Y191" s="69" t="n">
        <f aca="false">Y189*Y190</f>
        <v>21.7513945296239</v>
      </c>
      <c r="Z191" s="69" t="n">
        <f aca="false">Z189*Z190</f>
        <v>20.246141245124</v>
      </c>
      <c r="AA191" s="69" t="n">
        <f aca="false">AA189*AA190</f>
        <v>18.8483636339858</v>
      </c>
    </row>
    <row r="193" customFormat="false" ht="15" hidden="false" customHeight="true" outlineLevel="0" collapsed="false">
      <c r="A193" s="4" t="s">
        <v>925</v>
      </c>
    </row>
    <row r="194" customFormat="false" ht="15" hidden="false" customHeight="true" outlineLevel="0" collapsed="false">
      <c r="A194" s="41" t="s">
        <v>926</v>
      </c>
      <c r="C194" s="69" t="n">
        <f aca="false">C182*C183+C184</f>
        <v>155.008224</v>
      </c>
      <c r="D194" s="69" t="n">
        <f aca="false">D182*D183+D184</f>
        <v>152.908150377358</v>
      </c>
      <c r="E194" s="69" t="n">
        <f aca="false">E182*E183+E184</f>
        <v>149.045006851316</v>
      </c>
      <c r="F194" s="69" t="n">
        <f aca="false">F182*F183+F184</f>
        <v>145.466670907471</v>
      </c>
      <c r="G194" s="69" t="n">
        <f aca="false">G182*G183+G184</f>
        <v>142.152661220217</v>
      </c>
      <c r="H194" s="69" t="n">
        <f aca="false">H182*H183+H184</f>
        <v>139.084011795368</v>
      </c>
      <c r="I194" s="69" t="n">
        <f aca="false">I182*I183+I184</f>
        <v>136.243155983306</v>
      </c>
      <c r="J194" s="69" t="n">
        <f aca="false">J182*J183+J184</f>
        <v>133.613819580196</v>
      </c>
      <c r="K194" s="69" t="n">
        <f aca="false">K182*K183+K184</f>
        <v>131.180922296954</v>
      </c>
      <c r="L194" s="69" t="n">
        <f aca="false">L182*L183+L184</f>
        <v>128.930486932964</v>
      </c>
      <c r="M194" s="69" t="n">
        <f aca="false">M182*M183+M184</f>
        <v>128.128366574951</v>
      </c>
      <c r="N194" s="69" t="n">
        <f aca="false">N182*N183+N184</f>
        <v>127.366990233114</v>
      </c>
      <c r="O194" s="69" t="n">
        <f aca="false">O182*O183+O184</f>
        <v>126.644054544824</v>
      </c>
      <c r="P194" s="69" t="n">
        <f aca="false">P182*P183+P184</f>
        <v>125.957398885505</v>
      </c>
      <c r="Q194" s="69" t="n">
        <f aca="false">Q182*Q183+Q184</f>
        <v>125.30499592041</v>
      </c>
      <c r="R194" s="69" t="n">
        <f aca="false">R182*R183+R184</f>
        <v>124.684942808284</v>
      </c>
      <c r="S194" s="69" t="n">
        <f aca="false">S182*S183+S184</f>
        <v>124.095453010826</v>
      </c>
      <c r="T194" s="69" t="n">
        <f aca="false">T182*T183+T184</f>
        <v>123.534848665206</v>
      </c>
      <c r="U194" s="69" t="n">
        <f aca="false">U182*U183+U184</f>
        <v>123.001553479915</v>
      </c>
      <c r="V194" s="69" t="n">
        <f aca="false">V182*V183+V184</f>
        <v>122.494086117091</v>
      </c>
      <c r="W194" s="69" t="n">
        <f aca="false">W182*W183+W184</f>
        <v>122.011054027087</v>
      </c>
      <c r="X194" s="69" t="n">
        <f aca="false">X182*X183+X184</f>
        <v>121.55114770349</v>
      </c>
      <c r="Y194" s="69" t="n">
        <f aca="false">Y182*Y183+Y184</f>
        <v>121.113135329087</v>
      </c>
      <c r="Z194" s="69" t="n">
        <f aca="false">Z182*Z183+Z184</f>
        <v>120.69585778535</v>
      </c>
      <c r="AA194" s="69" t="n">
        <f aca="false">AA182*AA183+AA184</f>
        <v>120.298224</v>
      </c>
    </row>
    <row r="195" customFormat="false" ht="15" hidden="false" customHeight="true" outlineLevel="0" collapsed="false">
      <c r="A195" s="41" t="s">
        <v>927</v>
      </c>
      <c r="C195" s="69" t="n">
        <f aca="false">$B$177</f>
        <v>16</v>
      </c>
      <c r="D195" s="69" t="n">
        <f aca="false">$B$177</f>
        <v>16</v>
      </c>
      <c r="E195" s="69" t="n">
        <f aca="false">$B$177</f>
        <v>16</v>
      </c>
      <c r="F195" s="69" t="n">
        <f aca="false">$B$177</f>
        <v>16</v>
      </c>
      <c r="G195" s="69" t="n">
        <f aca="false">$B$177</f>
        <v>16</v>
      </c>
      <c r="H195" s="69" t="n">
        <f aca="false">$B$177</f>
        <v>16</v>
      </c>
      <c r="I195" s="69" t="n">
        <f aca="false">$B$177</f>
        <v>16</v>
      </c>
      <c r="J195" s="69" t="n">
        <f aca="false">$B$177</f>
        <v>16</v>
      </c>
      <c r="K195" s="69" t="n">
        <f aca="false">$B$177</f>
        <v>16</v>
      </c>
      <c r="L195" s="69" t="n">
        <f aca="false">$B$177</f>
        <v>16</v>
      </c>
      <c r="M195" s="69" t="n">
        <f aca="false">$B$177</f>
        <v>16</v>
      </c>
      <c r="N195" s="69" t="n">
        <f aca="false">$B$177</f>
        <v>16</v>
      </c>
      <c r="O195" s="69" t="n">
        <f aca="false">$B$177</f>
        <v>16</v>
      </c>
      <c r="P195" s="69" t="n">
        <f aca="false">$B$177</f>
        <v>16</v>
      </c>
      <c r="Q195" s="69" t="n">
        <f aca="false">$B$177</f>
        <v>16</v>
      </c>
      <c r="R195" s="69" t="n">
        <f aca="false">$B$177</f>
        <v>16</v>
      </c>
      <c r="S195" s="69" t="n">
        <f aca="false">$B$177</f>
        <v>16</v>
      </c>
      <c r="T195" s="69" t="n">
        <f aca="false">$B$177</f>
        <v>16</v>
      </c>
      <c r="U195" s="69" t="n">
        <f aca="false">$B$177</f>
        <v>16</v>
      </c>
      <c r="V195" s="69" t="n">
        <f aca="false">$B$177</f>
        <v>16</v>
      </c>
      <c r="W195" s="69" t="n">
        <f aca="false">$B$177</f>
        <v>16</v>
      </c>
      <c r="X195" s="69" t="n">
        <f aca="false">$B$177</f>
        <v>16</v>
      </c>
      <c r="Y195" s="69" t="n">
        <f aca="false">$B$177</f>
        <v>16</v>
      </c>
      <c r="Z195" s="69" t="n">
        <f aca="false">$B$177</f>
        <v>16</v>
      </c>
      <c r="AA195" s="69" t="n">
        <f aca="false">$B$177</f>
        <v>16</v>
      </c>
    </row>
    <row r="196" customFormat="false" ht="15" hidden="false" customHeight="true" outlineLevel="0" collapsed="false">
      <c r="A196" s="4" t="s">
        <v>928</v>
      </c>
      <c r="C196" s="69" t="n">
        <f aca="false">C194-C195</f>
        <v>139.008224</v>
      </c>
      <c r="D196" s="69" t="n">
        <f aca="false">D194-D195</f>
        <v>136.908150377358</v>
      </c>
      <c r="E196" s="69" t="n">
        <f aca="false">E194-E195</f>
        <v>133.045006851316</v>
      </c>
      <c r="F196" s="69" t="n">
        <f aca="false">F194-F195</f>
        <v>129.466670907471</v>
      </c>
      <c r="G196" s="69" t="n">
        <f aca="false">G194-G195</f>
        <v>126.152661220217</v>
      </c>
      <c r="H196" s="69" t="n">
        <f aca="false">H194-H195</f>
        <v>123.084011795368</v>
      </c>
      <c r="I196" s="69" t="n">
        <f aca="false">I194-I195</f>
        <v>120.243155983306</v>
      </c>
      <c r="J196" s="69" t="n">
        <f aca="false">J194-J195</f>
        <v>117.613819580196</v>
      </c>
      <c r="K196" s="69" t="n">
        <f aca="false">K194-K195</f>
        <v>115.180922296954</v>
      </c>
      <c r="L196" s="69" t="n">
        <f aca="false">L194-L195</f>
        <v>112.930486932964</v>
      </c>
      <c r="M196" s="69" t="n">
        <f aca="false">M194-M195</f>
        <v>112.128366574951</v>
      </c>
      <c r="N196" s="69" t="n">
        <f aca="false">N194-N195</f>
        <v>111.366990233114</v>
      </c>
      <c r="O196" s="69" t="n">
        <f aca="false">O194-O195</f>
        <v>110.644054544824</v>
      </c>
      <c r="P196" s="69" t="n">
        <f aca="false">P194-P195</f>
        <v>109.957398885505</v>
      </c>
      <c r="Q196" s="69" t="n">
        <f aca="false">Q194-Q195</f>
        <v>109.30499592041</v>
      </c>
      <c r="R196" s="69" t="n">
        <f aca="false">R194-R195</f>
        <v>108.684942808284</v>
      </c>
      <c r="S196" s="69" t="n">
        <f aca="false">S194-S195</f>
        <v>108.095453010826</v>
      </c>
      <c r="T196" s="69" t="n">
        <f aca="false">T194-T195</f>
        <v>107.534848665206</v>
      </c>
      <c r="U196" s="69" t="n">
        <f aca="false">U194-U195</f>
        <v>107.001553479915</v>
      </c>
      <c r="V196" s="69" t="n">
        <f aca="false">V194-V195</f>
        <v>106.494086117091</v>
      </c>
      <c r="W196" s="69" t="n">
        <f aca="false">W194-W195</f>
        <v>106.011054027087</v>
      </c>
      <c r="X196" s="69" t="n">
        <f aca="false">X194-X195</f>
        <v>105.55114770349</v>
      </c>
      <c r="Y196" s="69" t="n">
        <f aca="false">Y194-Y195</f>
        <v>105.113135329087</v>
      </c>
      <c r="Z196" s="69" t="n">
        <f aca="false">Z194-Z195</f>
        <v>104.69585778535</v>
      </c>
      <c r="AA196" s="69" t="n">
        <f aca="false">AA194-AA195</f>
        <v>104.298224</v>
      </c>
    </row>
    <row r="197" customFormat="false" ht="15" hidden="false" customHeight="true" outlineLevel="0" collapsed="false">
      <c r="A197" s="41" t="s">
        <v>929</v>
      </c>
      <c r="C197" s="67" t="n">
        <f aca="false">1/(1+$B$178)^(3-3+1)</f>
        <v>0.925925925925926</v>
      </c>
      <c r="D197" s="67" t="n">
        <f aca="false">1/(1+$B$178)^(4-3+1)</f>
        <v>0.857338820301783</v>
      </c>
      <c r="E197" s="67" t="n">
        <f aca="false">1/(1+$B$178)^(5-3+1)</f>
        <v>0.79383224102017</v>
      </c>
      <c r="F197" s="67" t="n">
        <f aca="false">1/(1+$B$178)^(6-3+1)</f>
        <v>0.735029852796453</v>
      </c>
      <c r="G197" s="67" t="n">
        <f aca="false">1/(1+$B$178)^(7-3+1)</f>
        <v>0.680583197033753</v>
      </c>
      <c r="H197" s="67" t="n">
        <f aca="false">1/(1+$B$178)^(8-3+1)</f>
        <v>0.630169626883105</v>
      </c>
      <c r="I197" s="67" t="n">
        <f aca="false">1/(1+$B$178)^(9-3+1)</f>
        <v>0.583490395262134</v>
      </c>
      <c r="J197" s="67" t="n">
        <f aca="false">1/(1+$B$178)^(10-3+1)</f>
        <v>0.540268884501976</v>
      </c>
      <c r="K197" s="67" t="n">
        <f aca="false">1/(1+$B$178)^(11-3+1)</f>
        <v>0.500248967131459</v>
      </c>
      <c r="L197" s="67" t="n">
        <f aca="false">1/(1+$B$178)^(12-3+1)</f>
        <v>0.463193488084684</v>
      </c>
      <c r="M197" s="67" t="n">
        <f aca="false">1/(1+$B$178)^(13-3+1)</f>
        <v>0.428882859337671</v>
      </c>
      <c r="N197" s="67" t="n">
        <f aca="false">1/(1+$B$178)^(14-3+1)</f>
        <v>0.397113758645991</v>
      </c>
      <c r="O197" s="67" t="n">
        <f aca="false">1/(1+$B$178)^(15-3+1)</f>
        <v>0.367697924672214</v>
      </c>
      <c r="P197" s="67" t="n">
        <f aca="false">1/(1+$B$178)^(16-3+1)</f>
        <v>0.340461041363161</v>
      </c>
      <c r="Q197" s="67" t="n">
        <f aca="false">1/(1+$B$178)^(17-3+1)</f>
        <v>0.31524170496589</v>
      </c>
      <c r="R197" s="67" t="n">
        <f aca="false">1/(1+$B$178)^(18-3+1)</f>
        <v>0.291890467561009</v>
      </c>
      <c r="S197" s="67" t="n">
        <f aca="false">1/(1+$B$178)^(19-3+1)</f>
        <v>0.270268951445379</v>
      </c>
      <c r="T197" s="67" t="n">
        <f aca="false">1/(1+$B$178)^(20-3+1)</f>
        <v>0.250249029116092</v>
      </c>
      <c r="U197" s="67" t="n">
        <f aca="false">1/(1+$B$178)^(21-3+1)</f>
        <v>0.231712063996381</v>
      </c>
      <c r="V197" s="67" t="n">
        <f aca="false">1/(1+$B$178)^(22-3+1)</f>
        <v>0.214548207404056</v>
      </c>
      <c r="W197" s="67" t="n">
        <f aca="false">1/(1+$B$178)^(23-3+1)</f>
        <v>0.198655747596349</v>
      </c>
      <c r="X197" s="67" t="n">
        <f aca="false">1/(1+$B$178)^(24-3+1)</f>
        <v>0.183940507033656</v>
      </c>
      <c r="Y197" s="67" t="n">
        <f aca="false">1/(1+$B$178)^(25-3+1)</f>
        <v>0.170315284290422</v>
      </c>
      <c r="Z197" s="67" t="n">
        <f aca="false">1/(1+$B$178)^(26-3+1)</f>
        <v>0.157699337305947</v>
      </c>
      <c r="AA197" s="67" t="n">
        <f aca="false">1/(1+$B$178)^(27-3+1)</f>
        <v>0.146017904912913</v>
      </c>
    </row>
    <row r="198" customFormat="false" ht="15" hidden="false" customHeight="true" outlineLevel="0" collapsed="false">
      <c r="A198" s="41" t="s">
        <v>930</v>
      </c>
      <c r="C198" s="69" t="n">
        <f aca="false">C196*C197</f>
        <v>128.711318518518</v>
      </c>
      <c r="D198" s="69" t="n">
        <f aca="false">D196*D197</f>
        <v>117.376672134223</v>
      </c>
      <c r="E198" s="69" t="n">
        <f aca="false">E196*E197</f>
        <v>105.615415945324</v>
      </c>
      <c r="F198" s="69" t="n">
        <f aca="false">F196*F197</f>
        <v>95.161868059165</v>
      </c>
      <c r="G198" s="69" t="n">
        <f aca="false">G196*G197</f>
        <v>85.8573814875713</v>
      </c>
      <c r="H198" s="69" t="n">
        <f aca="false">H196*H197</f>
        <v>77.5638057883626</v>
      </c>
      <c r="I198" s="69" t="n">
        <f aca="false">I196*I197</f>
        <v>70.1607266122658</v>
      </c>
      <c r="J198" s="69" t="n">
        <f aca="false">J196*J197</f>
        <v>63.5430871066091</v>
      </c>
      <c r="K198" s="69" t="n">
        <f aca="false">K196*K197</f>
        <v>57.6191374123002</v>
      </c>
      <c r="L198" s="69" t="n">
        <f aca="false">L196*L197</f>
        <v>52.3086661535813</v>
      </c>
      <c r="M198" s="69" t="n">
        <f aca="false">M196*M197</f>
        <v>48.0899344695277</v>
      </c>
      <c r="N198" s="69" t="n">
        <f aca="false">N196*N197</f>
        <v>44.2253640805634</v>
      </c>
      <c r="O198" s="69" t="n">
        <f aca="false">O196*O197</f>
        <v>40.6835892334512</v>
      </c>
      <c r="P198" s="69" t="n">
        <f aca="false">P196*P197</f>
        <v>37.4362105301434</v>
      </c>
      <c r="Q198" s="69" t="n">
        <f aca="false">Q196*Q197</f>
        <v>34.4574932752397</v>
      </c>
      <c r="R198" s="69" t="n">
        <f aca="false">R196*R197</f>
        <v>31.7240987731514</v>
      </c>
      <c r="S198" s="69" t="n">
        <f aca="false">S196*S197</f>
        <v>29.2148447412491</v>
      </c>
      <c r="T198" s="69" t="n">
        <f aca="false">T196*T197</f>
        <v>26.9104914746135</v>
      </c>
      <c r="U198" s="69" t="n">
        <f aca="false">U196*U197</f>
        <v>24.7935508076502</v>
      </c>
      <c r="V198" s="69" t="n">
        <f aca="false">V196*V197</f>
        <v>22.8481152755552</v>
      </c>
      <c r="W198" s="69" t="n">
        <f aca="false">W196*W197</f>
        <v>21.0597051912279</v>
      </c>
      <c r="X198" s="69" t="n">
        <f aca="false">X196*X197</f>
        <v>19.4151316265643</v>
      </c>
      <c r="Y198" s="69" t="n">
        <f aca="false">Y196*Y197</f>
        <v>17.902373526231</v>
      </c>
      <c r="Z198" s="69" t="n">
        <f aca="false">Z196*Z197</f>
        <v>16.5104673914273</v>
      </c>
      <c r="AA198" s="69" t="n">
        <f aca="false">AA196*AA197</f>
        <v>15.2294081546177</v>
      </c>
    </row>
    <row r="201" customFormat="false" ht="15" hidden="false" customHeight="true" outlineLevel="0" collapsed="false">
      <c r="A201" s="19" t="s">
        <v>931</v>
      </c>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row>
    <row r="202" customFormat="false" ht="15" hidden="false" customHeight="true" outlineLevel="0" collapsed="false">
      <c r="A202" s="41" t="s">
        <v>932</v>
      </c>
      <c r="C202" s="35" t="n">
        <f aca="false">$B$169*1000</f>
        <v>2200</v>
      </c>
    </row>
    <row r="203" customFormat="false" ht="15" hidden="false" customHeight="true" outlineLevel="0" collapsed="false">
      <c r="A203" s="41" t="s">
        <v>933</v>
      </c>
      <c r="C203" s="35" t="n">
        <f aca="false">C202*(1-$B$170)</f>
        <v>1865.6</v>
      </c>
    </row>
    <row r="204" customFormat="false" ht="15" hidden="false" customHeight="true" outlineLevel="0" collapsed="false">
      <c r="A204" s="41" t="s">
        <v>934</v>
      </c>
      <c r="C204" s="35" t="n">
        <f aca="false">SUM(C191:AA191)</f>
        <v>1371.22527745809</v>
      </c>
    </row>
    <row r="205" customFormat="false" ht="15" hidden="false" customHeight="true" outlineLevel="0" collapsed="false">
      <c r="A205" s="70" t="s">
        <v>935</v>
      </c>
      <c r="C205" s="71" t="n">
        <f aca="false">C204-C203</f>
        <v>-494.374722541907</v>
      </c>
    </row>
    <row r="206" customFormat="false" ht="15" hidden="false" customHeight="true" outlineLevel="0" collapsed="false">
      <c r="A206" s="41" t="s">
        <v>936</v>
      </c>
      <c r="C206" s="37" t="n">
        <f aca="false">C203/C189</f>
        <v>13.6167008485564</v>
      </c>
    </row>
    <row r="208" customFormat="false" ht="15" hidden="false" customHeight="true" outlineLevel="0" collapsed="false">
      <c r="A208" s="41" t="s">
        <v>937</v>
      </c>
      <c r="C208" s="35" t="n">
        <f aca="false">$B$175*1000</f>
        <v>3800</v>
      </c>
    </row>
    <row r="209" customFormat="false" ht="15" hidden="false" customHeight="true" outlineLevel="0" collapsed="false">
      <c r="A209" s="41" t="s">
        <v>938</v>
      </c>
      <c r="C209" s="35" t="n">
        <f aca="false">C208*(1-$B$176)</f>
        <v>2356</v>
      </c>
    </row>
    <row r="210" customFormat="false" ht="15" hidden="false" customHeight="true" outlineLevel="0" collapsed="false">
      <c r="A210" s="41" t="s">
        <v>939</v>
      </c>
      <c r="C210" s="35" t="n">
        <f aca="false">SUM(C198:AA198)</f>
        <v>1284.41885776913</v>
      </c>
    </row>
    <row r="211" customFormat="false" ht="15" hidden="false" customHeight="true" outlineLevel="0" collapsed="false">
      <c r="A211" s="70" t="s">
        <v>940</v>
      </c>
      <c r="C211" s="71" t="n">
        <f aca="false">C210-C209</f>
        <v>-1071.58114223087</v>
      </c>
    </row>
    <row r="212" customFormat="false" ht="15" hidden="false" customHeight="true" outlineLevel="0" collapsed="false">
      <c r="A212" s="41" t="s">
        <v>941</v>
      </c>
      <c r="C212" s="37" t="n">
        <f aca="false">C209/C196</f>
        <v>16.9486375137057</v>
      </c>
    </row>
    <row r="214" customFormat="false" ht="15" hidden="false" customHeight="true" outlineLevel="0" collapsed="false">
      <c r="A214" s="19" t="s">
        <v>942</v>
      </c>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row>
    <row r="215" customFormat="false" ht="15" hidden="false" customHeight="true" outlineLevel="0" collapsed="false">
      <c r="A215" s="30" t="s">
        <v>943</v>
      </c>
    </row>
    <row r="216" customFormat="false" ht="15" hidden="false" customHeight="true" outlineLevel="0" collapsed="false">
      <c r="A216" s="30" t="s">
        <v>944</v>
      </c>
    </row>
    <row r="217" customFormat="false" ht="15" hidden="false" customHeight="true" outlineLevel="0" collapsed="false">
      <c r="A217" s="30" t="s">
        <v>945</v>
      </c>
    </row>
    <row r="218" customFormat="false" ht="15" hidden="false" customHeight="true" outlineLevel="0" collapsed="false">
      <c r="A218" s="30" t="s">
        <v>946</v>
      </c>
    </row>
    <row r="219" customFormat="false" ht="15" hidden="false" customHeight="true" outlineLevel="0" collapsed="false">
      <c r="A219" s="30" t="s">
        <v>947</v>
      </c>
    </row>
    <row r="221" customFormat="false" ht="15" hidden="false" customHeight="true" outlineLevel="0" collapsed="false">
      <c r="A221" s="41" t="s">
        <v>948</v>
      </c>
      <c r="B221" s="65" t="n">
        <v>36.864</v>
      </c>
    </row>
    <row r="222" customFormat="false" ht="15" hidden="false" customHeight="true" outlineLevel="0" collapsed="false">
      <c r="A222" s="41" t="s">
        <v>949</v>
      </c>
      <c r="B222" s="42" t="n">
        <v>10</v>
      </c>
    </row>
    <row r="223" customFormat="false" ht="15" hidden="false" customHeight="true" outlineLevel="0" collapsed="false">
      <c r="A223" s="41" t="s">
        <v>950</v>
      </c>
      <c r="B223" s="66" t="n">
        <v>0.9</v>
      </c>
    </row>
    <row r="224" customFormat="false" ht="15" hidden="false" customHeight="true" outlineLevel="0" collapsed="false">
      <c r="A224" s="4" t="s">
        <v>951</v>
      </c>
      <c r="C224" s="69" t="n">
        <f aca="false">IF(0&lt;$B$222,$B$221*$B$223,0)</f>
        <v>33.1776</v>
      </c>
      <c r="D224" s="69" t="n">
        <f aca="false">IF(1&lt;$B$222,$B$221*$B$223,0)</f>
        <v>33.1776</v>
      </c>
      <c r="E224" s="69" t="n">
        <f aca="false">IF(2&lt;$B$222,$B$221*$B$223,0)</f>
        <v>33.1776</v>
      </c>
      <c r="F224" s="69" t="n">
        <f aca="false">IF(3&lt;$B$222,$B$221*$B$223,0)</f>
        <v>33.1776</v>
      </c>
      <c r="G224" s="69" t="n">
        <f aca="false">IF(4&lt;$B$222,$B$221*$B$223,0)</f>
        <v>33.1776</v>
      </c>
      <c r="H224" s="69" t="n">
        <f aca="false">IF(5&lt;$B$222,$B$221*$B$223,0)</f>
        <v>33.1776</v>
      </c>
      <c r="I224" s="69" t="n">
        <f aca="false">IF(6&lt;$B$222,$B$221*$B$223,0)</f>
        <v>33.1776</v>
      </c>
      <c r="J224" s="69" t="n">
        <f aca="false">IF(7&lt;$B$222,$B$221*$B$223,0)</f>
        <v>33.1776</v>
      </c>
      <c r="K224" s="69" t="n">
        <f aca="false">IF(8&lt;$B$222,$B$221*$B$223,0)</f>
        <v>33.1776</v>
      </c>
      <c r="L224" s="69" t="n">
        <f aca="false">IF(9&lt;$B$222,$B$221*$B$223,0)</f>
        <v>33.1776</v>
      </c>
      <c r="M224" s="69" t="n">
        <f aca="false">IF(10&lt;$B$222,$B$221*$B$223,0)</f>
        <v>0</v>
      </c>
      <c r="N224" s="69" t="n">
        <f aca="false">IF(11&lt;$B$222,$B$221*$B$223,0)</f>
        <v>0</v>
      </c>
      <c r="O224" s="69" t="n">
        <f aca="false">IF(12&lt;$B$222,$B$221*$B$223,0)</f>
        <v>0</v>
      </c>
      <c r="P224" s="69" t="n">
        <f aca="false">IF(13&lt;$B$222,$B$221*$B$223,0)</f>
        <v>0</v>
      </c>
      <c r="Q224" s="69" t="n">
        <f aca="false">IF(14&lt;$B$222,$B$221*$B$223,0)</f>
        <v>0</v>
      </c>
      <c r="R224" s="69" t="n">
        <f aca="false">IF(15&lt;$B$222,$B$221*$B$223,0)</f>
        <v>0</v>
      </c>
      <c r="S224" s="69" t="n">
        <f aca="false">IF(16&lt;$B$222,$B$221*$B$223,0)</f>
        <v>0</v>
      </c>
      <c r="T224" s="69" t="n">
        <f aca="false">IF(17&lt;$B$222,$B$221*$B$223,0)</f>
        <v>0</v>
      </c>
      <c r="U224" s="69" t="n">
        <f aca="false">IF(18&lt;$B$222,$B$221*$B$223,0)</f>
        <v>0</v>
      </c>
      <c r="V224" s="69" t="n">
        <f aca="false">IF(19&lt;$B$222,$B$221*$B$223,0)</f>
        <v>0</v>
      </c>
      <c r="W224" s="69" t="n">
        <f aca="false">IF(20&lt;$B$222,$B$221*$B$223,0)</f>
        <v>0</v>
      </c>
      <c r="X224" s="69" t="n">
        <f aca="false">IF(21&lt;$B$222,$B$221*$B$223,0)</f>
        <v>0</v>
      </c>
      <c r="Y224" s="69" t="n">
        <f aca="false">IF(22&lt;$B$222,$B$221*$B$223,0)</f>
        <v>0</v>
      </c>
      <c r="Z224" s="69" t="n">
        <f aca="false">IF(23&lt;$B$222,$B$221*$B$223,0)</f>
        <v>0</v>
      </c>
      <c r="AA224" s="69" t="n">
        <f aca="false">IF(24&lt;$B$222,$B$221*$B$223,0)</f>
        <v>0</v>
      </c>
    </row>
    <row r="226" customFormat="false" ht="15" hidden="false" customHeight="true" outlineLevel="0" collapsed="false">
      <c r="A226" s="4" t="s">
        <v>952</v>
      </c>
    </row>
    <row r="227" customFormat="false" ht="15" hidden="false" customHeight="true" outlineLevel="0" collapsed="false">
      <c r="A227" s="41" t="s">
        <v>953</v>
      </c>
      <c r="C227" s="69" t="n">
        <f aca="false">C187+C224</f>
        <v>188.185824</v>
      </c>
      <c r="D227" s="69" t="n">
        <f aca="false">D187+D224</f>
        <v>186.085750377358</v>
      </c>
      <c r="E227" s="69" t="n">
        <f aca="false">E187+E224</f>
        <v>182.222606851316</v>
      </c>
      <c r="F227" s="69" t="n">
        <f aca="false">F187+F224</f>
        <v>178.644270907471</v>
      </c>
      <c r="G227" s="69" t="n">
        <f aca="false">G187+G224</f>
        <v>175.330261220217</v>
      </c>
      <c r="H227" s="69" t="n">
        <f aca="false">H187+H224</f>
        <v>172.261611795368</v>
      </c>
      <c r="I227" s="69" t="n">
        <f aca="false">I187+I224</f>
        <v>169.420755983306</v>
      </c>
      <c r="J227" s="69" t="n">
        <f aca="false">J187+J224</f>
        <v>166.791419580196</v>
      </c>
      <c r="K227" s="69" t="n">
        <f aca="false">K187+K224</f>
        <v>164.358522296954</v>
      </c>
      <c r="L227" s="69" t="n">
        <f aca="false">L187+L224</f>
        <v>162.108086932964</v>
      </c>
      <c r="M227" s="69" t="n">
        <f aca="false">M187+M224</f>
        <v>128.128366574951</v>
      </c>
      <c r="N227" s="69" t="n">
        <f aca="false">N187+N224</f>
        <v>127.366990233114</v>
      </c>
      <c r="O227" s="69" t="n">
        <f aca="false">O187+O224</f>
        <v>126.644054544824</v>
      </c>
      <c r="P227" s="69" t="n">
        <f aca="false">P187+P224</f>
        <v>125.957398885505</v>
      </c>
      <c r="Q227" s="69" t="n">
        <f aca="false">Q187+Q224</f>
        <v>125.30499592041</v>
      </c>
      <c r="R227" s="69" t="n">
        <f aca="false">R187+R224</f>
        <v>124.684942808284</v>
      </c>
      <c r="S227" s="69" t="n">
        <f aca="false">S187+S224</f>
        <v>124.095453010826</v>
      </c>
      <c r="T227" s="69" t="n">
        <f aca="false">T187+T224</f>
        <v>123.534848665206</v>
      </c>
      <c r="U227" s="69" t="n">
        <f aca="false">U187+U224</f>
        <v>123.001553479915</v>
      </c>
      <c r="V227" s="69" t="n">
        <f aca="false">V187+V224</f>
        <v>122.494086117091</v>
      </c>
      <c r="W227" s="69" t="n">
        <f aca="false">W187+W224</f>
        <v>122.011054027087</v>
      </c>
      <c r="X227" s="69" t="n">
        <f aca="false">X187+X224</f>
        <v>121.55114770349</v>
      </c>
      <c r="Y227" s="69" t="n">
        <f aca="false">Y187+Y224</f>
        <v>121.113135329087</v>
      </c>
      <c r="Z227" s="69" t="n">
        <f aca="false">Z187+Z224</f>
        <v>120.69585778535</v>
      </c>
      <c r="AA227" s="69" t="n">
        <f aca="false">AA187+AA224</f>
        <v>120.298224</v>
      </c>
    </row>
    <row r="228" customFormat="false" ht="15" hidden="false" customHeight="true" outlineLevel="0" collapsed="false">
      <c r="A228" s="41" t="s">
        <v>954</v>
      </c>
      <c r="C228" s="69" t="n">
        <f aca="false">C227-C188</f>
        <v>170.185824</v>
      </c>
      <c r="D228" s="69" t="n">
        <f aca="false">D227-D188</f>
        <v>168.085750377358</v>
      </c>
      <c r="E228" s="69" t="n">
        <f aca="false">E227-E188</f>
        <v>164.222606851316</v>
      </c>
      <c r="F228" s="69" t="n">
        <f aca="false">F227-F188</f>
        <v>160.644270907471</v>
      </c>
      <c r="G228" s="69" t="n">
        <f aca="false">G227-G188</f>
        <v>157.330261220217</v>
      </c>
      <c r="H228" s="69" t="n">
        <f aca="false">H227-H188</f>
        <v>154.261611795368</v>
      </c>
      <c r="I228" s="69" t="n">
        <f aca="false">I227-I188</f>
        <v>151.420755983306</v>
      </c>
      <c r="J228" s="69" t="n">
        <f aca="false">J227-J188</f>
        <v>148.791419580196</v>
      </c>
      <c r="K228" s="69" t="n">
        <f aca="false">K227-K188</f>
        <v>146.358522296954</v>
      </c>
      <c r="L228" s="69" t="n">
        <f aca="false">L227-L188</f>
        <v>144.108086932964</v>
      </c>
      <c r="M228" s="69" t="n">
        <f aca="false">M227-M188</f>
        <v>110.128366574951</v>
      </c>
      <c r="N228" s="69" t="n">
        <f aca="false">N227-N188</f>
        <v>109.366990233114</v>
      </c>
      <c r="O228" s="69" t="n">
        <f aca="false">O227-O188</f>
        <v>108.644054544824</v>
      </c>
      <c r="P228" s="69" t="n">
        <f aca="false">P227-P188</f>
        <v>107.957398885505</v>
      </c>
      <c r="Q228" s="69" t="n">
        <f aca="false">Q227-Q188</f>
        <v>107.30499592041</v>
      </c>
      <c r="R228" s="69" t="n">
        <f aca="false">R227-R188</f>
        <v>106.684942808284</v>
      </c>
      <c r="S228" s="69" t="n">
        <f aca="false">S227-S188</f>
        <v>106.095453010826</v>
      </c>
      <c r="T228" s="69" t="n">
        <f aca="false">T227-T188</f>
        <v>105.534848665206</v>
      </c>
      <c r="U228" s="69" t="n">
        <f aca="false">U227-U188</f>
        <v>105.001553479915</v>
      </c>
      <c r="V228" s="69" t="n">
        <f aca="false">V227-V188</f>
        <v>104.494086117091</v>
      </c>
      <c r="W228" s="69" t="n">
        <f aca="false">W227-W188</f>
        <v>104.011054027087</v>
      </c>
      <c r="X228" s="69" t="n">
        <f aca="false">X227-X188</f>
        <v>103.55114770349</v>
      </c>
      <c r="Y228" s="69" t="n">
        <f aca="false">Y227-Y188</f>
        <v>103.113135329087</v>
      </c>
      <c r="Z228" s="69" t="n">
        <f aca="false">Z227-Z188</f>
        <v>102.69585778535</v>
      </c>
      <c r="AA228" s="69" t="n">
        <f aca="false">AA227-AA188</f>
        <v>102.298224</v>
      </c>
    </row>
    <row r="229" customFormat="false" ht="15" hidden="false" customHeight="true" outlineLevel="0" collapsed="false">
      <c r="A229" s="41" t="s">
        <v>955</v>
      </c>
      <c r="C229" s="69" t="n">
        <f aca="false">C228*C190</f>
        <v>159.052171962617</v>
      </c>
      <c r="D229" s="69" t="n">
        <f aca="false">D228*D190</f>
        <v>146.812604050448</v>
      </c>
      <c r="E229" s="69" t="n">
        <f aca="false">E228*E190</f>
        <v>134.054565310211</v>
      </c>
      <c r="F229" s="69" t="n">
        <f aca="false">F228*F190</f>
        <v>122.554745118175</v>
      </c>
      <c r="G229" s="69" t="n">
        <f aca="false">G228*G190</f>
        <v>112.17430186457</v>
      </c>
      <c r="H229" s="69" t="n">
        <f aca="false">H228*H190</f>
        <v>102.791025453245</v>
      </c>
      <c r="I229" s="69" t="n">
        <f aca="false">I228*I190</f>
        <v>94.2972367045737</v>
      </c>
      <c r="J229" s="69" t="n">
        <f aca="false">J228*J190</f>
        <v>86.5979608768307</v>
      </c>
      <c r="K229" s="69" t="n">
        <f aca="false">K228*K190</f>
        <v>79.6093387920678</v>
      </c>
      <c r="L229" s="69" t="n">
        <f aca="false">L228*L190</f>
        <v>73.2572439832605</v>
      </c>
      <c r="M229" s="69" t="n">
        <f aca="false">M228*M190</f>
        <v>52.3211936376909</v>
      </c>
      <c r="N229" s="69" t="n">
        <f aca="false">N228*N190</f>
        <v>48.5602516096674</v>
      </c>
      <c r="O229" s="69" t="n">
        <f aca="false">O228*O190</f>
        <v>45.0834201105652</v>
      </c>
      <c r="P229" s="69" t="n">
        <f aca="false">P228*P190</f>
        <v>41.8677405831832</v>
      </c>
      <c r="Q229" s="69" t="n">
        <f aca="false">Q228*Q190</f>
        <v>38.8922686590922</v>
      </c>
      <c r="R229" s="69" t="n">
        <f aca="false">R228*R190</f>
        <v>36.1378811931169</v>
      </c>
      <c r="S229" s="69" t="n">
        <f aca="false">S228*S190</f>
        <v>33.5871033679157</v>
      </c>
      <c r="T229" s="69" t="n">
        <f aca="false">T228*T190</f>
        <v>31.2239536344949</v>
      </c>
      <c r="U229" s="69" t="n">
        <f aca="false">U228*U190</f>
        <v>29.0338045162797</v>
      </c>
      <c r="V229" s="69" t="n">
        <f aca="false">V228*V190</f>
        <v>27.0032575343252</v>
      </c>
      <c r="W229" s="69" t="n">
        <f aca="false">W228*W190</f>
        <v>25.1200307133638</v>
      </c>
      <c r="X229" s="69" t="n">
        <f aca="false">X228*X190</f>
        <v>23.3728573061119</v>
      </c>
      <c r="Y229" s="69" t="n">
        <f aca="false">Y228*Y190</f>
        <v>21.7513945296239</v>
      </c>
      <c r="Z229" s="69" t="n">
        <f aca="false">Z228*Z190</f>
        <v>20.246141245124</v>
      </c>
      <c r="AA229" s="69" t="n">
        <f aca="false">AA228*AA190</f>
        <v>18.8483636339858</v>
      </c>
    </row>
    <row r="231" customFormat="false" ht="15" hidden="false" customHeight="true" outlineLevel="0" collapsed="false">
      <c r="A231" s="4" t="s">
        <v>956</v>
      </c>
    </row>
    <row r="232" customFormat="false" ht="15" hidden="false" customHeight="true" outlineLevel="0" collapsed="false">
      <c r="A232" s="41" t="s">
        <v>957</v>
      </c>
      <c r="C232" s="69" t="n">
        <f aca="false">C194+C224</f>
        <v>188.185824</v>
      </c>
      <c r="D232" s="69" t="n">
        <f aca="false">D194+D224</f>
        <v>186.085750377358</v>
      </c>
      <c r="E232" s="69" t="n">
        <f aca="false">E194+E224</f>
        <v>182.222606851316</v>
      </c>
      <c r="F232" s="69" t="n">
        <f aca="false">F194+F224</f>
        <v>178.644270907471</v>
      </c>
      <c r="G232" s="69" t="n">
        <f aca="false">G194+G224</f>
        <v>175.330261220217</v>
      </c>
      <c r="H232" s="69" t="n">
        <f aca="false">H194+H224</f>
        <v>172.261611795368</v>
      </c>
      <c r="I232" s="69" t="n">
        <f aca="false">I194+I224</f>
        <v>169.420755983306</v>
      </c>
      <c r="J232" s="69" t="n">
        <f aca="false">J194+J224</f>
        <v>166.791419580196</v>
      </c>
      <c r="K232" s="69" t="n">
        <f aca="false">K194+K224</f>
        <v>164.358522296954</v>
      </c>
      <c r="L232" s="69" t="n">
        <f aca="false">L194+L224</f>
        <v>162.108086932964</v>
      </c>
      <c r="M232" s="69" t="n">
        <f aca="false">M194+M224</f>
        <v>128.128366574951</v>
      </c>
      <c r="N232" s="69" t="n">
        <f aca="false">N194+N224</f>
        <v>127.366990233114</v>
      </c>
      <c r="O232" s="69" t="n">
        <f aca="false">O194+O224</f>
        <v>126.644054544824</v>
      </c>
      <c r="P232" s="69" t="n">
        <f aca="false">P194+P224</f>
        <v>125.957398885505</v>
      </c>
      <c r="Q232" s="69" t="n">
        <f aca="false">Q194+Q224</f>
        <v>125.30499592041</v>
      </c>
      <c r="R232" s="69" t="n">
        <f aca="false">R194+R224</f>
        <v>124.684942808284</v>
      </c>
      <c r="S232" s="69" t="n">
        <f aca="false">S194+S224</f>
        <v>124.095453010826</v>
      </c>
      <c r="T232" s="69" t="n">
        <f aca="false">T194+T224</f>
        <v>123.534848665206</v>
      </c>
      <c r="U232" s="69" t="n">
        <f aca="false">U194+U224</f>
        <v>123.001553479915</v>
      </c>
      <c r="V232" s="69" t="n">
        <f aca="false">V194+V224</f>
        <v>122.494086117091</v>
      </c>
      <c r="W232" s="69" t="n">
        <f aca="false">W194+W224</f>
        <v>122.011054027087</v>
      </c>
      <c r="X232" s="69" t="n">
        <f aca="false">X194+X224</f>
        <v>121.55114770349</v>
      </c>
      <c r="Y232" s="69" t="n">
        <f aca="false">Y194+Y224</f>
        <v>121.113135329087</v>
      </c>
      <c r="Z232" s="69" t="n">
        <f aca="false">Z194+Z224</f>
        <v>120.69585778535</v>
      </c>
      <c r="AA232" s="69" t="n">
        <f aca="false">AA194+AA224</f>
        <v>120.298224</v>
      </c>
    </row>
    <row r="233" customFormat="false" ht="15" hidden="false" customHeight="true" outlineLevel="0" collapsed="false">
      <c r="A233" s="41" t="s">
        <v>958</v>
      </c>
      <c r="C233" s="69" t="n">
        <f aca="false">C232-C195</f>
        <v>172.185824</v>
      </c>
      <c r="D233" s="69" t="n">
        <f aca="false">D232-D195</f>
        <v>170.085750377358</v>
      </c>
      <c r="E233" s="69" t="n">
        <f aca="false">E232-E195</f>
        <v>166.222606851316</v>
      </c>
      <c r="F233" s="69" t="n">
        <f aca="false">F232-F195</f>
        <v>162.644270907471</v>
      </c>
      <c r="G233" s="69" t="n">
        <f aca="false">G232-G195</f>
        <v>159.330261220217</v>
      </c>
      <c r="H233" s="69" t="n">
        <f aca="false">H232-H195</f>
        <v>156.261611795368</v>
      </c>
      <c r="I233" s="69" t="n">
        <f aca="false">I232-I195</f>
        <v>153.420755983306</v>
      </c>
      <c r="J233" s="69" t="n">
        <f aca="false">J232-J195</f>
        <v>150.791419580196</v>
      </c>
      <c r="K233" s="69" t="n">
        <f aca="false">K232-K195</f>
        <v>148.358522296954</v>
      </c>
      <c r="L233" s="69" t="n">
        <f aca="false">L232-L195</f>
        <v>146.108086932964</v>
      </c>
      <c r="M233" s="69" t="n">
        <f aca="false">M232-M195</f>
        <v>112.128366574951</v>
      </c>
      <c r="N233" s="69" t="n">
        <f aca="false">N232-N195</f>
        <v>111.366990233114</v>
      </c>
      <c r="O233" s="69" t="n">
        <f aca="false">O232-O195</f>
        <v>110.644054544824</v>
      </c>
      <c r="P233" s="69" t="n">
        <f aca="false">P232-P195</f>
        <v>109.957398885505</v>
      </c>
      <c r="Q233" s="69" t="n">
        <f aca="false">Q232-Q195</f>
        <v>109.30499592041</v>
      </c>
      <c r="R233" s="69" t="n">
        <f aca="false">R232-R195</f>
        <v>108.684942808284</v>
      </c>
      <c r="S233" s="69" t="n">
        <f aca="false">S232-S195</f>
        <v>108.095453010826</v>
      </c>
      <c r="T233" s="69" t="n">
        <f aca="false">T232-T195</f>
        <v>107.534848665206</v>
      </c>
      <c r="U233" s="69" t="n">
        <f aca="false">U232-U195</f>
        <v>107.001553479915</v>
      </c>
      <c r="V233" s="69" t="n">
        <f aca="false">V232-V195</f>
        <v>106.494086117091</v>
      </c>
      <c r="W233" s="69" t="n">
        <f aca="false">W232-W195</f>
        <v>106.011054027087</v>
      </c>
      <c r="X233" s="69" t="n">
        <f aca="false">X232-X195</f>
        <v>105.55114770349</v>
      </c>
      <c r="Y233" s="69" t="n">
        <f aca="false">Y232-Y195</f>
        <v>105.113135329087</v>
      </c>
      <c r="Z233" s="69" t="n">
        <f aca="false">Z232-Z195</f>
        <v>104.69585778535</v>
      </c>
      <c r="AA233" s="69" t="n">
        <f aca="false">AA232-AA195</f>
        <v>104.298224</v>
      </c>
    </row>
    <row r="234" customFormat="false" ht="15" hidden="false" customHeight="true" outlineLevel="0" collapsed="false">
      <c r="A234" s="41" t="s">
        <v>959</v>
      </c>
      <c r="C234" s="69" t="n">
        <f aca="false">C233*C197</f>
        <v>159.431318518518</v>
      </c>
      <c r="D234" s="69" t="n">
        <f aca="false">D233*D197</f>
        <v>145.821116578667</v>
      </c>
      <c r="E234" s="69" t="n">
        <f aca="false">E233*E197</f>
        <v>131.952864504995</v>
      </c>
      <c r="F234" s="69" t="n">
        <f aca="false">F233*F197</f>
        <v>119.548394503305</v>
      </c>
      <c r="G234" s="69" t="n">
        <f aca="false">G233*G197</f>
        <v>108.437498565478</v>
      </c>
      <c r="H234" s="69" t="n">
        <f aca="false">H233*H197</f>
        <v>98.4713216012395</v>
      </c>
      <c r="I234" s="69" t="n">
        <f aca="false">I233*I197</f>
        <v>89.5195375501148</v>
      </c>
      <c r="J234" s="69" t="n">
        <f aca="false">J233*J197</f>
        <v>81.4679120490618</v>
      </c>
      <c r="K234" s="69" t="n">
        <f aca="false">K233*K197</f>
        <v>74.2161975442009</v>
      </c>
      <c r="L234" s="69" t="n">
        <f aca="false">L233*L197</f>
        <v>67.6763144238597</v>
      </c>
      <c r="M234" s="69" t="n">
        <f aca="false">M233*M197</f>
        <v>48.0899344695277</v>
      </c>
      <c r="N234" s="69" t="n">
        <f aca="false">N233*N197</f>
        <v>44.2253640805634</v>
      </c>
      <c r="O234" s="69" t="n">
        <f aca="false">O233*O197</f>
        <v>40.6835892334512</v>
      </c>
      <c r="P234" s="69" t="n">
        <f aca="false">P233*P197</f>
        <v>37.4362105301434</v>
      </c>
      <c r="Q234" s="69" t="n">
        <f aca="false">Q233*Q197</f>
        <v>34.4574932752397</v>
      </c>
      <c r="R234" s="69" t="n">
        <f aca="false">R233*R197</f>
        <v>31.7240987731514</v>
      </c>
      <c r="S234" s="69" t="n">
        <f aca="false">S233*S197</f>
        <v>29.2148447412491</v>
      </c>
      <c r="T234" s="69" t="n">
        <f aca="false">T233*T197</f>
        <v>26.9104914746135</v>
      </c>
      <c r="U234" s="69" t="n">
        <f aca="false">U233*U197</f>
        <v>24.7935508076502</v>
      </c>
      <c r="V234" s="69" t="n">
        <f aca="false">V233*V197</f>
        <v>22.8481152755552</v>
      </c>
      <c r="W234" s="69" t="n">
        <f aca="false">W233*W197</f>
        <v>21.0597051912279</v>
      </c>
      <c r="X234" s="69" t="n">
        <f aca="false">X233*X197</f>
        <v>19.4151316265643</v>
      </c>
      <c r="Y234" s="69" t="n">
        <f aca="false">Y233*Y197</f>
        <v>17.902373526231</v>
      </c>
      <c r="Z234" s="69" t="n">
        <f aca="false">Z233*Z197</f>
        <v>16.5104673914273</v>
      </c>
      <c r="AA234" s="69" t="n">
        <f aca="false">AA233*AA197</f>
        <v>15.2294081546177</v>
      </c>
    </row>
    <row r="237" customFormat="false" ht="15" hidden="false" customHeight="true" outlineLevel="0" collapsed="false">
      <c r="A237" s="19" t="s">
        <v>960</v>
      </c>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row>
    <row r="238" customFormat="false" ht="15" hidden="false" customHeight="true" outlineLevel="0" collapsed="false">
      <c r="A238" s="41" t="s">
        <v>961</v>
      </c>
      <c r="C238" s="35" t="n">
        <f aca="false">SUM(C229:AA229)</f>
        <v>1604.25085639054</v>
      </c>
    </row>
    <row r="239" customFormat="false" ht="15" hidden="false" customHeight="true" outlineLevel="0" collapsed="false">
      <c r="A239" s="70" t="s">
        <v>962</v>
      </c>
      <c r="C239" s="71" t="n">
        <f aca="false">C238-C203</f>
        <v>-261.349143609462</v>
      </c>
    </row>
    <row r="240" customFormat="false" ht="15" hidden="false" customHeight="true" outlineLevel="0" collapsed="false">
      <c r="A240" s="51" t="s">
        <v>963</v>
      </c>
      <c r="C240" s="35" t="n">
        <f aca="false">C239-C205</f>
        <v>233.025578932445</v>
      </c>
    </row>
    <row r="242" customFormat="false" ht="15" hidden="false" customHeight="true" outlineLevel="0" collapsed="false">
      <c r="A242" s="41" t="s">
        <v>964</v>
      </c>
      <c r="C242" s="35" t="n">
        <f aca="false">SUM(C234:AA234)</f>
        <v>1507.04325439065</v>
      </c>
    </row>
    <row r="243" customFormat="false" ht="15" hidden="false" customHeight="true" outlineLevel="0" collapsed="false">
      <c r="A243" s="70" t="s">
        <v>965</v>
      </c>
      <c r="C243" s="71" t="n">
        <f aca="false">C242-C209</f>
        <v>-848.956745609347</v>
      </c>
    </row>
    <row r="244" customFormat="false" ht="15" hidden="false" customHeight="true" outlineLevel="0" collapsed="false">
      <c r="A244" s="51" t="s">
        <v>966</v>
      </c>
      <c r="C244" s="35" t="n">
        <f aca="false">C243-C211</f>
        <v>222.62439662152</v>
      </c>
    </row>
    <row r="246" customFormat="false" ht="15" hidden="false" customHeight="true" outlineLevel="0" collapsed="false">
      <c r="A246" s="19" t="s">
        <v>967</v>
      </c>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row>
    <row r="247" customFormat="false" ht="15" hidden="false" customHeight="true" outlineLevel="0" collapsed="false">
      <c r="A247" s="30" t="s">
        <v>968</v>
      </c>
    </row>
    <row r="248" customFormat="false" ht="15" hidden="false" customHeight="true" outlineLevel="0" collapsed="false">
      <c r="A248" s="30" t="s">
        <v>969</v>
      </c>
    </row>
    <row r="249" customFormat="false" ht="15" hidden="false" customHeight="true" outlineLevel="0" collapsed="false">
      <c r="A249" s="30" t="s">
        <v>970</v>
      </c>
    </row>
    <row r="250" customFormat="false" ht="15" hidden="false" customHeight="true" outlineLevel="0" collapsed="false">
      <c r="A250" s="30" t="s">
        <v>971</v>
      </c>
    </row>
    <row r="251" customFormat="false" ht="15" hidden="false" customHeight="true" outlineLevel="0" collapsed="false">
      <c r="A251" s="30" t="s">
        <v>972</v>
      </c>
    </row>
    <row r="252" customFormat="false" ht="15" hidden="false" customHeight="true" outlineLevel="0" collapsed="false">
      <c r="A252" s="30" t="s">
        <v>973</v>
      </c>
    </row>
    <row r="253" customFormat="false" ht="15" hidden="false" customHeight="true" outlineLevel="0" collapsed="false">
      <c r="A253" s="30" t="s">
        <v>974</v>
      </c>
    </row>
    <row r="254" customFormat="false" ht="15" hidden="false" customHeight="true" outlineLevel="0" collapsed="false">
      <c r="A254" s="30" t="s">
        <v>975</v>
      </c>
    </row>
    <row r="255" customFormat="false" ht="15" hidden="false" customHeight="true" outlineLevel="0" collapsed="false">
      <c r="A255" s="30" t="s">
        <v>976</v>
      </c>
    </row>
    <row r="256" customFormat="false" ht="15" hidden="false" customHeight="true" outlineLevel="0" collapsed="false">
      <c r="A256" s="30" t="s">
        <v>977</v>
      </c>
    </row>
    <row r="258" customFormat="false" ht="15" hidden="false" customHeight="true" outlineLevel="0" collapsed="false">
      <c r="A258" s="41" t="s">
        <v>978</v>
      </c>
      <c r="B258" s="72" t="s">
        <v>979</v>
      </c>
      <c r="C258" s="65" t="n">
        <v>24.5</v>
      </c>
      <c r="D258" s="65" t="n">
        <v>24.5</v>
      </c>
      <c r="E258" s="65" t="n">
        <v>42.5</v>
      </c>
      <c r="F258" s="65" t="n">
        <v>67.5</v>
      </c>
      <c r="G258" s="65" t="n">
        <v>68.17</v>
      </c>
      <c r="H258" s="65" t="n">
        <v>68.86</v>
      </c>
      <c r="I258" s="65" t="n">
        <v>69.55</v>
      </c>
      <c r="J258" s="65" t="n">
        <v>70.24</v>
      </c>
      <c r="K258" s="65" t="n">
        <v>70.94</v>
      </c>
      <c r="L258" s="65" t="n">
        <v>71.65</v>
      </c>
      <c r="M258" s="65" t="n">
        <v>72.37</v>
      </c>
      <c r="N258" s="65" t="n">
        <v>73.09</v>
      </c>
      <c r="O258" s="65" t="n">
        <v>73.82</v>
      </c>
      <c r="P258" s="65" t="n">
        <v>74.56</v>
      </c>
      <c r="Q258" s="65" t="n">
        <v>75.31</v>
      </c>
      <c r="R258" s="65" t="n">
        <v>76.06</v>
      </c>
      <c r="S258" s="65" t="n">
        <v>76.82</v>
      </c>
      <c r="T258" s="65" t="n">
        <v>77.59</v>
      </c>
      <c r="U258" s="65" t="n">
        <v>78.37</v>
      </c>
      <c r="V258" s="65" t="n">
        <v>79.15</v>
      </c>
      <c r="W258" s="65" t="n">
        <v>79.94</v>
      </c>
      <c r="X258" s="65" t="n">
        <v>80.74</v>
      </c>
      <c r="Y258" s="65" t="n">
        <v>81.55</v>
      </c>
      <c r="Z258" s="65" t="n">
        <v>82.36</v>
      </c>
      <c r="AA258" s="65" t="n">
        <v>83.19</v>
      </c>
    </row>
    <row r="259" customFormat="false" ht="15" hidden="false" customHeight="true" outlineLevel="0" collapsed="false">
      <c r="A259" s="41" t="s">
        <v>980</v>
      </c>
      <c r="B259" s="65" t="n">
        <v>50.59</v>
      </c>
    </row>
    <row r="260" customFormat="false" ht="15" hidden="false" customHeight="true" outlineLevel="0" collapsed="false">
      <c r="A260" s="41" t="s">
        <v>981</v>
      </c>
    </row>
    <row r="261" customFormat="false" ht="15" hidden="false" customHeight="true" outlineLevel="0" collapsed="false">
      <c r="A261" s="41" t="s">
        <v>982</v>
      </c>
      <c r="B261" s="73" t="s">
        <v>983</v>
      </c>
      <c r="C261" s="30" t="s">
        <v>984</v>
      </c>
    </row>
    <row r="262" customFormat="false" ht="15" hidden="false" customHeight="true" outlineLevel="0" collapsed="false">
      <c r="A262" s="41" t="s">
        <v>985</v>
      </c>
      <c r="C262" s="69" t="n">
        <v>63</v>
      </c>
      <c r="D262" s="69" t="n">
        <v>63</v>
      </c>
      <c r="E262" s="69" t="n">
        <v>63</v>
      </c>
      <c r="F262" s="69" t="n">
        <v>63</v>
      </c>
      <c r="G262" s="69" t="n">
        <v>63</v>
      </c>
      <c r="H262" s="69" t="n">
        <v>63</v>
      </c>
      <c r="I262" s="69" t="n">
        <v>63</v>
      </c>
      <c r="J262" s="69" t="n">
        <v>63</v>
      </c>
      <c r="K262" s="69" t="n">
        <v>63</v>
      </c>
      <c r="L262" s="69" t="n">
        <v>63</v>
      </c>
      <c r="M262" s="69" t="n">
        <v>63</v>
      </c>
      <c r="N262" s="69" t="n">
        <v>63</v>
      </c>
      <c r="O262" s="69" t="n">
        <v>63</v>
      </c>
      <c r="P262" s="69" t="n">
        <v>63</v>
      </c>
      <c r="Q262" s="69" t="n">
        <v>63</v>
      </c>
      <c r="R262" s="69" t="n">
        <v>63</v>
      </c>
      <c r="S262" s="69" t="n">
        <v>63</v>
      </c>
      <c r="T262" s="69" t="n">
        <v>63</v>
      </c>
      <c r="U262" s="69" t="n">
        <v>63</v>
      </c>
      <c r="V262" s="69" t="n">
        <v>63</v>
      </c>
      <c r="W262" s="69" t="n">
        <v>63</v>
      </c>
      <c r="X262" s="69" t="n">
        <v>63</v>
      </c>
      <c r="Y262" s="69" t="n">
        <v>63</v>
      </c>
      <c r="Z262" s="69" t="n">
        <v>63</v>
      </c>
      <c r="AA262" s="69" t="n">
        <v>63</v>
      </c>
    </row>
    <row r="264" customFormat="false" ht="15" hidden="false" customHeight="true" outlineLevel="0" collapsed="false">
      <c r="A264" s="41" t="s">
        <v>986</v>
      </c>
      <c r="B264" s="65" t="n">
        <v>50.59</v>
      </c>
      <c r="C264" s="69" t="n">
        <f aca="false">(0.11+0.5*0.5)*121000/1000</f>
        <v>43.56</v>
      </c>
      <c r="D264" s="69" t="n">
        <f aca="false">(0.102008809152648+0.5*0.481270420989871)*121000/1000</f>
        <v>41.4599263773576</v>
      </c>
      <c r="E264" s="69" t="n">
        <f aca="false">(0.0945981558612846+0.5*0.463242436239535)*115250/1000</f>
        <v>37.5967828513163</v>
      </c>
      <c r="F264" s="69" t="n">
        <f aca="false">(0.0877258657040564+0.5*0.445889764618748)*109500/1000</f>
        <v>34.0184469074706</v>
      </c>
      <c r="G264" s="69" t="n">
        <f aca="false">(0.0813528281123263+0.5*0.429187109466279)*103750/1000</f>
        <v>30.7044372202171</v>
      </c>
      <c r="H264" s="69" t="n">
        <f aca="false">(0.0754427737903496+0.5*0.413110121712523)*98000/1000</f>
        <v>27.6357877953679</v>
      </c>
      <c r="I264" s="69" t="n">
        <f aca="false">(0.0699620683047831+0.5*0.397635364383525)*92250/1000</f>
        <v>24.7949319833063</v>
      </c>
      <c r="J264" s="69" t="n">
        <f aca="false">(0.0648795206693375+0.5*0.38274027843464)*86500/1000</f>
        <v>22.1655955801959</v>
      </c>
      <c r="K264" s="69" t="n">
        <f aca="false">(0.0601662058352156+0.5*0.368403149864039)*80750/1000</f>
        <v>19.7326982969542</v>
      </c>
      <c r="L264" s="69" t="n">
        <f aca="false">(0.0557953000771221+0.5*0.354603078058121)*75000/1000</f>
        <v>17.4822629329637</v>
      </c>
      <c r="M264" s="69" t="n">
        <f aca="false">(0.0517419283380169+0.5*0.341319945322671)*75000/1000</f>
        <v>16.6801425749514</v>
      </c>
      <c r="N264" s="69" t="n">
        <f aca="false">(0.0479830226638431+0.5*0.328534387555363)*75000/1000</f>
        <v>15.9187662331143</v>
      </c>
      <c r="O264" s="69" t="n">
        <f aca="false">(0.044497190922574+0.5*0.316227766016838)*75000/1000</f>
        <v>15.1958305448245</v>
      </c>
      <c r="P264" s="69" t="n">
        <f aca="false">(0.0412645950604525+0.5*0.30438214015922)*75000/1000</f>
        <v>14.5091748855047</v>
      </c>
      <c r="Q264" s="69" t="n">
        <f aca="false">(0.0382668382025727+0.5*0.292980241472451)*75000/1000</f>
        <v>13.8567719204099</v>
      </c>
      <c r="R264" s="69" t="n">
        <f aca="false">(0.0354868599552862+0.5*0.282005448310321)*75000/1000</f>
        <v>13.2367188082835</v>
      </c>
      <c r="S264" s="69" t="n">
        <f aca="false">(0.0329088393145957+0.5*0.271441761659491)*75000/1000</f>
        <v>12.6472290108256</v>
      </c>
      <c r="T264" s="69" t="n">
        <f aca="false">(0.0305181046279795+0.5*0.26127378181619)*75000/1000</f>
        <v>12.0866246652056</v>
      </c>
      <c r="U264" s="69" t="n">
        <f aca="false">(0.0283010500972372+0.5*0.251486685936587)*75000/1000</f>
        <v>11.5533294799148</v>
      </c>
      <c r="V264" s="69" t="n">
        <f aca="false">(0.0262450583471691+0.5*0.242066206428097)*75000/1000</f>
        <v>11.0458621170913</v>
      </c>
      <c r="W264" s="69" t="n">
        <f aca="false">(0.0243384286194225+0.5*0.232998610150143)*75000/1000</f>
        <v>10.5628300270871</v>
      </c>
      <c r="X264" s="69" t="n">
        <f aca="false">(0.0225703101828546+0.5*0.224270678394028)*75000/1000</f>
        <v>10.1029237034901</v>
      </c>
      <c r="Y264" s="69" t="n">
        <f aca="false">(0.0209306405814443+0.5*0.215869687612755)*75000/1000</f>
        <v>9.66491132908664</v>
      </c>
      <c r="Z264" s="69" t="n">
        <f aca="false">(0.0194100883683202+0.5*0.207783390872685)*75000/1000</f>
        <v>9.2476337853497</v>
      </c>
      <c r="AA264" s="69" t="n">
        <f aca="false">(0.018+0.5*0.2)*75000/1000</f>
        <v>8.85</v>
      </c>
    </row>
    <row r="265" customFormat="false" ht="15" hidden="false" customHeight="true" outlineLevel="0" collapsed="false">
      <c r="A265" s="41" t="s">
        <v>987</v>
      </c>
      <c r="C265" s="69" t="n">
        <f aca="false">C182*C258</f>
        <v>48.93336</v>
      </c>
      <c r="D265" s="69" t="n">
        <f aca="false">D182*D258</f>
        <v>48.93336</v>
      </c>
      <c r="E265" s="69" t="n">
        <f aca="false">E182*E258</f>
        <v>84.8844</v>
      </c>
      <c r="F265" s="69" t="n">
        <f aca="false">F182*F258</f>
        <v>134.8164</v>
      </c>
      <c r="G265" s="69" t="n">
        <f aca="false">G182*G258</f>
        <v>136.1545776</v>
      </c>
      <c r="H265" s="69" t="n">
        <f aca="false">H182*H258</f>
        <v>137.5327008</v>
      </c>
      <c r="I265" s="69" t="n">
        <f aca="false">I182*I258</f>
        <v>138.910824</v>
      </c>
      <c r="J265" s="69" t="n">
        <f aca="false">J182*J258</f>
        <v>140.2889472</v>
      </c>
      <c r="K265" s="69" t="n">
        <f aca="false">K182*K258</f>
        <v>141.6870432</v>
      </c>
      <c r="L265" s="69" t="n">
        <f aca="false">L182*L258</f>
        <v>143.105112</v>
      </c>
      <c r="M265" s="69" t="n">
        <f aca="false">M182*M258</f>
        <v>144.5431536</v>
      </c>
      <c r="N265" s="69" t="n">
        <f aca="false">N182*N258</f>
        <v>145.9811952</v>
      </c>
      <c r="O265" s="69" t="n">
        <f aca="false">O182*O258</f>
        <v>147.4392096</v>
      </c>
      <c r="P265" s="69" t="n">
        <f aca="false">P182*P258</f>
        <v>148.9171968</v>
      </c>
      <c r="Q265" s="69" t="n">
        <f aca="false">Q182*Q258</f>
        <v>150.4151568</v>
      </c>
      <c r="R265" s="69" t="n">
        <f aca="false">R182*R258</f>
        <v>151.9131168</v>
      </c>
      <c r="S265" s="69" t="n">
        <f aca="false">S182*S258</f>
        <v>153.4310496</v>
      </c>
      <c r="T265" s="69" t="n">
        <f aca="false">T182*T258</f>
        <v>154.9689552</v>
      </c>
      <c r="U265" s="69" t="n">
        <f aca="false">U182*U258</f>
        <v>156.5268336</v>
      </c>
      <c r="V265" s="69" t="n">
        <f aca="false">V182*V258</f>
        <v>158.084712</v>
      </c>
      <c r="W265" s="69" t="n">
        <f aca="false">W182*W258</f>
        <v>159.6625632</v>
      </c>
      <c r="X265" s="69" t="n">
        <f aca="false">X182*X258</f>
        <v>161.2603872</v>
      </c>
      <c r="Y265" s="69" t="n">
        <f aca="false">Y182*Y258</f>
        <v>162.878184</v>
      </c>
      <c r="Z265" s="69" t="n">
        <f aca="false">Z182*Z258</f>
        <v>164.4959808</v>
      </c>
      <c r="AA265" s="69" t="n">
        <f aca="false">AA182*AA258</f>
        <v>166.1537232</v>
      </c>
    </row>
    <row r="266" customFormat="false" ht="15" hidden="false" customHeight="true" outlineLevel="0" collapsed="false">
      <c r="B266" s="73" t="s">
        <v>983</v>
      </c>
      <c r="C266" s="30" t="s">
        <v>984</v>
      </c>
    </row>
    <row r="267" customFormat="false" ht="15" hidden="false" customHeight="true" outlineLevel="0" collapsed="false">
      <c r="A267" s="41" t="s">
        <v>988</v>
      </c>
      <c r="C267" s="69" t="n">
        <v>63</v>
      </c>
      <c r="D267" s="69" t="n">
        <v>63</v>
      </c>
      <c r="E267" s="69" t="n">
        <v>63</v>
      </c>
      <c r="F267" s="69" t="n">
        <v>63</v>
      </c>
      <c r="G267" s="69" t="n">
        <v>63</v>
      </c>
      <c r="H267" s="69" t="n">
        <v>63</v>
      </c>
      <c r="I267" s="69" t="n">
        <v>63</v>
      </c>
      <c r="J267" s="69" t="n">
        <v>63</v>
      </c>
      <c r="K267" s="69" t="n">
        <v>63</v>
      </c>
      <c r="L267" s="69" t="n">
        <v>63</v>
      </c>
      <c r="M267" s="69" t="n">
        <v>63</v>
      </c>
      <c r="N267" s="69" t="n">
        <v>63</v>
      </c>
      <c r="O267" s="69" t="n">
        <v>63</v>
      </c>
      <c r="P267" s="69" t="n">
        <v>63</v>
      </c>
      <c r="Q267" s="69" t="n">
        <v>63</v>
      </c>
      <c r="R267" s="69" t="n">
        <v>63</v>
      </c>
      <c r="S267" s="69" t="n">
        <v>63</v>
      </c>
      <c r="T267" s="69" t="n">
        <v>63</v>
      </c>
      <c r="U267" s="69" t="n">
        <v>63</v>
      </c>
      <c r="V267" s="69" t="n">
        <v>63</v>
      </c>
      <c r="W267" s="69" t="n">
        <v>63</v>
      </c>
      <c r="X267" s="69" t="n">
        <v>63</v>
      </c>
      <c r="Y267" s="69" t="n">
        <v>63</v>
      </c>
      <c r="Z267" s="69" t="n">
        <v>63</v>
      </c>
      <c r="AA267" s="69" t="n">
        <v>63</v>
      </c>
    </row>
    <row r="268" customFormat="false" ht="15" hidden="false" customHeight="true" outlineLevel="0" collapsed="false">
      <c r="A268" s="41" t="s">
        <v>989</v>
      </c>
      <c r="C268" s="69" t="n">
        <f aca="false">C182*C262+C264+C224+C265+$B$259+3.37195140193473</f>
        <v>305.461551401935</v>
      </c>
      <c r="D268" s="69" t="n">
        <f aca="false">D182*D262+D264+D224+D265+$B$259+3.37195140193473</f>
        <v>303.361477779292</v>
      </c>
      <c r="E268" s="69" t="n">
        <f aca="false">E182*E262+E264+E224+E265+$B$259+3.37195140193473</f>
        <v>335.449374253251</v>
      </c>
      <c r="F268" s="69" t="n">
        <f aca="false">F182*F262+F264+F224+F265+$B$259+3.37195140193473</f>
        <v>381.803038309405</v>
      </c>
      <c r="G268" s="69" t="n">
        <f aca="false">G182*G262+G264+G224+G265+$B$259+3.37195140193473</f>
        <v>379.827206222152</v>
      </c>
      <c r="H268" s="69" t="n">
        <f aca="false">H182*H262+H264+H224+H265+$B$259+3.37195140193473</f>
        <v>378.136679997303</v>
      </c>
      <c r="I268" s="69" t="n">
        <f aca="false">I182*I262+I264+I224+I265+$B$259+3.37195140193473</f>
        <v>376.673947385241</v>
      </c>
      <c r="J268" s="69" t="n">
        <f aca="false">J182*J262+J264+J224+J265+$B$259+3.37195140193473</f>
        <v>375.422734182131</v>
      </c>
      <c r="K268" s="69" t="n">
        <f aca="false">K182*K262+K264+K224+K265+$B$259+3.37195140193473</f>
        <v>374.387932898889</v>
      </c>
      <c r="L268" s="69" t="n">
        <f aca="false">L182*L262+L264+L224+L265+$B$259+3.37195140193473</f>
        <v>373.555566334898</v>
      </c>
      <c r="M268" s="69" t="n">
        <f aca="false">M182*M262+M264+M224+M265+$B$259+3.37195140193473</f>
        <v>341.013887576886</v>
      </c>
      <c r="N268" s="69" t="n">
        <f aca="false">N182*N262+N264+N224+N265+$B$259+3.37195140193473</f>
        <v>341.690552835049</v>
      </c>
      <c r="O268" s="69" t="n">
        <f aca="false">O182*O262+O264+O224+O265+$B$259+3.37195140193473</f>
        <v>342.425631546759</v>
      </c>
      <c r="P268" s="69" t="n">
        <f aca="false">P182*P262+P264+P224+P265+$B$259+3.37195140193473</f>
        <v>343.216963087439</v>
      </c>
      <c r="Q268" s="69" t="n">
        <f aca="false">Q182*Q262+Q264+Q224+Q265+$B$259+3.37195140193473</f>
        <v>344.062520122345</v>
      </c>
      <c r="R268" s="69" t="n">
        <f aca="false">R182*R262+R264+R224+R265+$B$259+3.37195140193473</f>
        <v>344.940427010218</v>
      </c>
      <c r="S268" s="69" t="n">
        <f aca="false">S182*S262+S264+S224+S265+$B$259+3.37195140193473</f>
        <v>345.86887001276</v>
      </c>
      <c r="T268" s="69" t="n">
        <f aca="false">T182*T262+T264+T224+T265+$B$259+3.37195140193473</f>
        <v>346.84617126714</v>
      </c>
      <c r="U268" s="69" t="n">
        <f aca="false">U182*U262+U264+U224+U265+$B$259+3.37195140193473</f>
        <v>347.87075448185</v>
      </c>
      <c r="V268" s="69" t="n">
        <f aca="false">V182*V262+V264+V224+V265+$B$259+3.37195140193473</f>
        <v>348.921165519026</v>
      </c>
      <c r="W268" s="69" t="n">
        <f aca="false">W182*W262+W264+W224+W265+$B$259+3.37195140193473</f>
        <v>350.015984629022</v>
      </c>
      <c r="X268" s="69" t="n">
        <f aca="false">X182*X262+X264+X224+X265+$B$259+3.37195140193473</f>
        <v>351.153902305425</v>
      </c>
      <c r="Y268" s="69" t="n">
        <f aca="false">Y182*Y262+Y264+Y224+Y265+$B$259+3.37195140193473</f>
        <v>352.333686731021</v>
      </c>
      <c r="Z268" s="69" t="n">
        <f aca="false">Z182*Z262+Z264+Z224+Z265+$B$259+3.37195140193473</f>
        <v>353.534205987284</v>
      </c>
      <c r="AA268" s="69" t="n">
        <f aca="false">AA182*AA262+AA264+AA224+AA265+$B$259+3.37195140193473</f>
        <v>354.794314601935</v>
      </c>
    </row>
    <row r="269" customFormat="false" ht="15" hidden="false" customHeight="true" outlineLevel="0" collapsed="false">
      <c r="A269" s="41" t="s">
        <v>990</v>
      </c>
      <c r="C269" s="69" t="n">
        <f aca="false">(0.11+0.5*0.5)*121000/1000</f>
        <v>43.56</v>
      </c>
      <c r="D269" s="69" t="n">
        <f aca="false">(0.102008809152648+0.5*0.481270420989871)*121000/1000</f>
        <v>41.4599263773576</v>
      </c>
      <c r="E269" s="69" t="n">
        <f aca="false">(0.0945981558612846+0.5*0.463242436239535)*115250/1000</f>
        <v>37.5967828513163</v>
      </c>
      <c r="F269" s="69" t="n">
        <f aca="false">(0.0877258657040564+0.5*0.445889764618748)*109500/1000</f>
        <v>34.0184469074706</v>
      </c>
      <c r="G269" s="69" t="n">
        <f aca="false">(0.0813528281123263+0.5*0.429187109466279)*103750/1000</f>
        <v>30.7044372202171</v>
      </c>
      <c r="H269" s="69" t="n">
        <f aca="false">(0.0754427737903496+0.5*0.413110121712523)*98000/1000</f>
        <v>27.6357877953679</v>
      </c>
      <c r="I269" s="69" t="n">
        <f aca="false">(0.0699620683047831+0.5*0.397635364383525)*92250/1000</f>
        <v>24.7949319833063</v>
      </c>
      <c r="J269" s="69" t="n">
        <f aca="false">(0.0648795206693375+0.5*0.38274027843464)*86500/1000</f>
        <v>22.1655955801959</v>
      </c>
      <c r="K269" s="69" t="n">
        <f aca="false">(0.0601662058352156+0.5*0.368403149864039)*80750/1000</f>
        <v>19.7326982969542</v>
      </c>
      <c r="L269" s="69" t="n">
        <f aca="false">(0.0557953000771221+0.5*0.354603078058121)*75000/1000</f>
        <v>17.4822629329637</v>
      </c>
      <c r="M269" s="69" t="n">
        <f aca="false">(0.0517419283380169+0.5*0.341319945322671)*75000/1000</f>
        <v>16.6801425749514</v>
      </c>
      <c r="N269" s="69" t="n">
        <f aca="false">(0.0479830226638431+0.5*0.328534387555363)*75000/1000</f>
        <v>15.9187662331143</v>
      </c>
      <c r="O269" s="69" t="n">
        <f aca="false">(0.044497190922574+0.5*0.316227766016838)*75000/1000</f>
        <v>15.1958305448245</v>
      </c>
      <c r="P269" s="69" t="n">
        <f aca="false">(0.0412645950604525+0.5*0.30438214015922)*75000/1000</f>
        <v>14.5091748855047</v>
      </c>
      <c r="Q269" s="69" t="n">
        <f aca="false">(0.0382668382025727+0.5*0.292980241472451)*75000/1000</f>
        <v>13.8567719204099</v>
      </c>
      <c r="R269" s="69" t="n">
        <f aca="false">(0.0354868599552862+0.5*0.282005448310321)*75000/1000</f>
        <v>13.2367188082835</v>
      </c>
      <c r="S269" s="69" t="n">
        <f aca="false">(0.0329088393145957+0.5*0.271441761659491)*75000/1000</f>
        <v>12.6472290108256</v>
      </c>
      <c r="T269" s="69" t="n">
        <f aca="false">(0.0305181046279795+0.5*0.26127378181619)*75000/1000</f>
        <v>12.0866246652056</v>
      </c>
      <c r="U269" s="69" t="n">
        <f aca="false">(0.0283010500972372+0.5*0.251486685936587)*75000/1000</f>
        <v>11.5533294799148</v>
      </c>
      <c r="V269" s="69" t="n">
        <f aca="false">(0.0262450583471691+0.5*0.242066206428097)*75000/1000</f>
        <v>11.0458621170913</v>
      </c>
      <c r="W269" s="69" t="n">
        <f aca="false">(0.0243384286194225+0.5*0.232998610150143)*75000/1000</f>
        <v>10.5628300270871</v>
      </c>
      <c r="X269" s="69" t="n">
        <f aca="false">(0.0225703101828546+0.5*0.224270678394028)*75000/1000</f>
        <v>10.1029237034901</v>
      </c>
      <c r="Y269" s="69" t="n">
        <f aca="false">(0.0209306405814443+0.5*0.215869687612755)*75000/1000</f>
        <v>9.66491132908664</v>
      </c>
      <c r="Z269" s="69" t="n">
        <f aca="false">(0.0194100883683202+0.5*0.207783390872685)*75000/1000</f>
        <v>9.2476337853497</v>
      </c>
      <c r="AA269" s="69" t="n">
        <f aca="false">(0.018+0.5*0.2)*75000/1000</f>
        <v>8.85</v>
      </c>
    </row>
    <row r="270" customFormat="false" ht="15" hidden="false" customHeight="true" outlineLevel="0" collapsed="false">
      <c r="A270" s="41" t="s">
        <v>991</v>
      </c>
      <c r="C270" s="69" t="n">
        <f aca="false">C182*C258</f>
        <v>48.93336</v>
      </c>
      <c r="D270" s="69" t="n">
        <f aca="false">D182*D258</f>
        <v>48.93336</v>
      </c>
      <c r="E270" s="69" t="n">
        <f aca="false">E182*E258</f>
        <v>84.8844</v>
      </c>
      <c r="F270" s="69" t="n">
        <f aca="false">F182*F258</f>
        <v>134.8164</v>
      </c>
      <c r="G270" s="69" t="n">
        <f aca="false">G182*G258</f>
        <v>136.1545776</v>
      </c>
      <c r="H270" s="69" t="n">
        <f aca="false">H182*H258</f>
        <v>137.5327008</v>
      </c>
      <c r="I270" s="69" t="n">
        <f aca="false">I182*I258</f>
        <v>138.910824</v>
      </c>
      <c r="J270" s="69" t="n">
        <f aca="false">J182*J258</f>
        <v>140.2889472</v>
      </c>
      <c r="K270" s="69" t="n">
        <f aca="false">K182*K258</f>
        <v>141.6870432</v>
      </c>
      <c r="L270" s="69" t="n">
        <f aca="false">L182*L258</f>
        <v>143.105112</v>
      </c>
      <c r="M270" s="69" t="n">
        <f aca="false">M182*M258</f>
        <v>144.5431536</v>
      </c>
      <c r="N270" s="69" t="n">
        <f aca="false">N182*N258</f>
        <v>145.9811952</v>
      </c>
      <c r="O270" s="69" t="n">
        <f aca="false">O182*O258</f>
        <v>147.4392096</v>
      </c>
      <c r="P270" s="69" t="n">
        <f aca="false">P182*P258</f>
        <v>148.9171968</v>
      </c>
      <c r="Q270" s="69" t="n">
        <f aca="false">Q182*Q258</f>
        <v>150.4151568</v>
      </c>
      <c r="R270" s="69" t="n">
        <f aca="false">R182*R258</f>
        <v>151.9131168</v>
      </c>
      <c r="S270" s="69" t="n">
        <f aca="false">S182*S258</f>
        <v>153.4310496</v>
      </c>
      <c r="T270" s="69" t="n">
        <f aca="false">T182*T258</f>
        <v>154.9689552</v>
      </c>
      <c r="U270" s="69" t="n">
        <f aca="false">U182*U258</f>
        <v>156.5268336</v>
      </c>
      <c r="V270" s="69" t="n">
        <f aca="false">V182*V258</f>
        <v>158.084712</v>
      </c>
      <c r="W270" s="69" t="n">
        <f aca="false">W182*W258</f>
        <v>159.6625632</v>
      </c>
      <c r="X270" s="69" t="n">
        <f aca="false">X182*X258</f>
        <v>161.2603872</v>
      </c>
      <c r="Y270" s="69" t="n">
        <f aca="false">Y182*Y258</f>
        <v>162.878184</v>
      </c>
      <c r="Z270" s="69" t="n">
        <f aca="false">Z182*Z258</f>
        <v>164.4959808</v>
      </c>
      <c r="AA270" s="69" t="n">
        <f aca="false">AA182*AA258</f>
        <v>166.1537232</v>
      </c>
    </row>
    <row r="272" customFormat="false" ht="15" hidden="false" customHeight="true" outlineLevel="0" collapsed="false">
      <c r="A272" s="4" t="s">
        <v>992</v>
      </c>
    </row>
    <row r="273" customFormat="false" ht="15" hidden="false" customHeight="true" outlineLevel="0" collapsed="false">
      <c r="A273" s="41" t="s">
        <v>989</v>
      </c>
      <c r="C273" s="69" t="n">
        <f aca="false">C182*C267+C269+C224+C270+$B$264+3.37195140193473</f>
        <v>305.461551401935</v>
      </c>
      <c r="D273" s="69" t="n">
        <f aca="false">D182*D267+D269+D224+D270+$B$264+3.37195140193473</f>
        <v>303.361477779292</v>
      </c>
      <c r="E273" s="69" t="n">
        <f aca="false">E182*E267+E269+E224+E270+$B$264+3.37195140193473</f>
        <v>335.449374253251</v>
      </c>
      <c r="F273" s="69" t="n">
        <f aca="false">F182*F267+F269+F224+F270+$B$264+3.37195140193473</f>
        <v>381.803038309405</v>
      </c>
      <c r="G273" s="69" t="n">
        <f aca="false">G182*G267+G269+G224+G270+$B$264+3.37195140193473</f>
        <v>379.827206222152</v>
      </c>
      <c r="H273" s="69" t="n">
        <f aca="false">H182*H267+H269+H224+H270+$B$264+3.37195140193473</f>
        <v>378.136679997303</v>
      </c>
      <c r="I273" s="69" t="n">
        <f aca="false">I182*I267+I269+I224+I270+$B$264+3.37195140193473</f>
        <v>376.673947385241</v>
      </c>
      <c r="J273" s="69" t="n">
        <f aca="false">J182*J267+J269+J224+J270+$B$264+3.37195140193473</f>
        <v>375.422734182131</v>
      </c>
      <c r="K273" s="69" t="n">
        <f aca="false">K182*K267+K269+K224+K270+$B$264+3.37195140193473</f>
        <v>374.387932898889</v>
      </c>
      <c r="L273" s="69" t="n">
        <f aca="false">L182*L267+L269+L224+L270+$B$264+3.37195140193473</f>
        <v>373.555566334898</v>
      </c>
      <c r="M273" s="69" t="n">
        <f aca="false">M182*M267+M269+M224+M270+$B$264+3.37195140193473</f>
        <v>341.013887576886</v>
      </c>
      <c r="N273" s="69" t="n">
        <f aca="false">N182*N267+N269+N224+N270+$B$264+3.37195140193473</f>
        <v>341.690552835049</v>
      </c>
      <c r="O273" s="69" t="n">
        <f aca="false">O182*O267+O269+O224+O270+$B$264+3.37195140193473</f>
        <v>342.425631546759</v>
      </c>
      <c r="P273" s="69" t="n">
        <f aca="false">P182*P267+P269+P224+P270+$B$264+3.37195140193473</f>
        <v>343.216963087439</v>
      </c>
      <c r="Q273" s="69" t="n">
        <f aca="false">Q182*Q267+Q269+Q224+Q270+$B$264+3.37195140193473</f>
        <v>344.062520122345</v>
      </c>
      <c r="R273" s="69" t="n">
        <f aca="false">R182*R267+R269+R224+R270+$B$264+3.37195140193473</f>
        <v>344.940427010218</v>
      </c>
      <c r="S273" s="69" t="n">
        <f aca="false">S182*S267+S269+S224+S270+$B$264+3.37195140193473</f>
        <v>345.86887001276</v>
      </c>
      <c r="T273" s="69" t="n">
        <f aca="false">T182*T267+T269+T224+T270+$B$264+3.37195140193473</f>
        <v>346.84617126714</v>
      </c>
      <c r="U273" s="69" t="n">
        <f aca="false">U182*U267+U269+U224+U270+$B$264+3.37195140193473</f>
        <v>347.87075448185</v>
      </c>
      <c r="V273" s="69" t="n">
        <f aca="false">V182*V267+V269+V224+V270+$B$264+3.37195140193473</f>
        <v>348.921165519026</v>
      </c>
      <c r="W273" s="69" t="n">
        <f aca="false">W182*W267+W269+W224+W270+$B$264+3.37195140193473</f>
        <v>350.015984629022</v>
      </c>
      <c r="X273" s="69" t="n">
        <f aca="false">X182*X267+X269+X224+X270+$B$264+3.37195140193473</f>
        <v>351.153902305425</v>
      </c>
      <c r="Y273" s="69" t="n">
        <f aca="false">Y182*Y267+Y269+Y224+Y270+$B$264+3.37195140193473</f>
        <v>352.333686731021</v>
      </c>
      <c r="Z273" s="69" t="n">
        <f aca="false">Z182*Z267+Z269+Z224+Z270+$B$264+3.37195140193473</f>
        <v>353.534205987284</v>
      </c>
      <c r="AA273" s="69" t="n">
        <f aca="false">AA182*AA267+AA269+AA224+AA270+$B$264+3.37195140193473</f>
        <v>354.794314601935</v>
      </c>
    </row>
    <row r="274" customFormat="false" ht="15" hidden="false" customHeight="true" outlineLevel="0" collapsed="false">
      <c r="A274" s="41" t="s">
        <v>993</v>
      </c>
      <c r="C274" s="69" t="n">
        <f aca="false">C273-C188</f>
        <v>287.461551401935</v>
      </c>
      <c r="D274" s="69" t="n">
        <f aca="false">D273-D188</f>
        <v>285.361477779292</v>
      </c>
      <c r="E274" s="69" t="n">
        <f aca="false">E273-E188</f>
        <v>317.449374253251</v>
      </c>
      <c r="F274" s="69" t="n">
        <f aca="false">F273-F188</f>
        <v>363.803038309405</v>
      </c>
      <c r="G274" s="69" t="n">
        <f aca="false">G273-G188</f>
        <v>361.827206222152</v>
      </c>
      <c r="H274" s="69" t="n">
        <f aca="false">H273-H188</f>
        <v>360.136679997303</v>
      </c>
      <c r="I274" s="69" t="n">
        <f aca="false">I273-I188</f>
        <v>358.673947385241</v>
      </c>
      <c r="J274" s="69" t="n">
        <f aca="false">J273-J188</f>
        <v>357.422734182131</v>
      </c>
      <c r="K274" s="69" t="n">
        <f aca="false">K273-K188</f>
        <v>356.387932898889</v>
      </c>
      <c r="L274" s="69" t="n">
        <f aca="false">L273-L188</f>
        <v>355.555566334898</v>
      </c>
      <c r="M274" s="69" t="n">
        <f aca="false">M273-M188</f>
        <v>323.013887576886</v>
      </c>
      <c r="N274" s="69" t="n">
        <f aca="false">N273-N188</f>
        <v>323.690552835049</v>
      </c>
      <c r="O274" s="69" t="n">
        <f aca="false">O273-O188</f>
        <v>324.425631546759</v>
      </c>
      <c r="P274" s="69" t="n">
        <f aca="false">P273-P188</f>
        <v>325.216963087439</v>
      </c>
      <c r="Q274" s="69" t="n">
        <f aca="false">Q273-Q188</f>
        <v>326.062520122345</v>
      </c>
      <c r="R274" s="69" t="n">
        <f aca="false">R273-R188</f>
        <v>326.940427010218</v>
      </c>
      <c r="S274" s="69" t="n">
        <f aca="false">S273-S188</f>
        <v>327.86887001276</v>
      </c>
      <c r="T274" s="69" t="n">
        <f aca="false">T273-T188</f>
        <v>328.84617126714</v>
      </c>
      <c r="U274" s="69" t="n">
        <f aca="false">U273-U188</f>
        <v>329.87075448185</v>
      </c>
      <c r="V274" s="69" t="n">
        <f aca="false">V273-V188</f>
        <v>330.921165519026</v>
      </c>
      <c r="W274" s="69" t="n">
        <f aca="false">W273-W188</f>
        <v>332.015984629022</v>
      </c>
      <c r="X274" s="69" t="n">
        <f aca="false">X273-X188</f>
        <v>333.153902305425</v>
      </c>
      <c r="Y274" s="69" t="n">
        <f aca="false">Y273-Y188</f>
        <v>334.333686731021</v>
      </c>
      <c r="Z274" s="69" t="n">
        <f aca="false">Z273-Z188</f>
        <v>335.534205987284</v>
      </c>
      <c r="AA274" s="69" t="n">
        <f aca="false">AA273-AA188</f>
        <v>336.794314601935</v>
      </c>
    </row>
    <row r="275" customFormat="false" ht="15" hidden="false" customHeight="true" outlineLevel="0" collapsed="false">
      <c r="A275" s="41" t="s">
        <v>994</v>
      </c>
      <c r="C275" s="69" t="n">
        <f aca="false">C274*C190</f>
        <v>268.655655515827</v>
      </c>
      <c r="D275" s="69" t="n">
        <f aca="false">D274*D190</f>
        <v>249.245766249709</v>
      </c>
      <c r="E275" s="69" t="n">
        <f aca="false">E274*E190</f>
        <v>259.133250223258</v>
      </c>
      <c r="F275" s="69" t="n">
        <f aca="false">F274*F190</f>
        <v>277.543596054588</v>
      </c>
      <c r="G275" s="69" t="n">
        <f aca="false">G274*G190</f>
        <v>257.977797397581</v>
      </c>
      <c r="H275" s="69" t="n">
        <f aca="false">H274*H190</f>
        <v>239.974276227298</v>
      </c>
      <c r="I275" s="69" t="n">
        <f aca="false">I274*I190</f>
        <v>223.364108154886</v>
      </c>
      <c r="J275" s="69" t="n">
        <f aca="false">J274*J190</f>
        <v>208.023285472529</v>
      </c>
      <c r="K275" s="69" t="n">
        <f aca="false">K274*K190</f>
        <v>193.851422153521</v>
      </c>
      <c r="L275" s="69" t="n">
        <f aca="false">L274*L190</f>
        <v>180.746420460904</v>
      </c>
      <c r="M275" s="69" t="n">
        <f aca="false">M274*M190</f>
        <v>153.461571120928</v>
      </c>
      <c r="N275" s="69" t="n">
        <f aca="false">N274*N190</f>
        <v>143.722476552007</v>
      </c>
      <c r="O275" s="69" t="n">
        <f aca="false">O274*O190</f>
        <v>134.625103075691</v>
      </c>
      <c r="P275" s="69" t="n">
        <f aca="false">P274*P190</f>
        <v>126.124745356604</v>
      </c>
      <c r="Q275" s="69" t="n">
        <f aca="false">Q274*Q190</f>
        <v>118.180062572901</v>
      </c>
      <c r="R275" s="69" t="n">
        <f aca="false">R274*R190</f>
        <v>110.746034046754</v>
      </c>
      <c r="S275" s="69" t="n">
        <f aca="false">S274*S190</f>
        <v>103.794887676446</v>
      </c>
      <c r="T275" s="69" t="n">
        <f aca="false">T274*T190</f>
        <v>97.2937160984591</v>
      </c>
      <c r="U275" s="69" t="n">
        <f aca="false">U274*U190</f>
        <v>91.2120124308041</v>
      </c>
      <c r="V275" s="69" t="n">
        <f aca="false">V274*V190</f>
        <v>85.5163176034298</v>
      </c>
      <c r="W275" s="69" t="n">
        <f aca="false">W274*W190</f>
        <v>80.1862052954173</v>
      </c>
      <c r="X275" s="69" t="n">
        <f aca="false">X274*X190</f>
        <v>75.1972217812183</v>
      </c>
      <c r="Y275" s="69" t="n">
        <f aca="false">Y274*Y190</f>
        <v>70.5266492132234</v>
      </c>
      <c r="Z275" s="69" t="n">
        <f aca="false">Z274*Z190</f>
        <v>66.1494345875962</v>
      </c>
      <c r="AA275" s="69" t="n">
        <f aca="false">AA274*AA190</f>
        <v>62.0540754595728</v>
      </c>
    </row>
    <row r="277" customFormat="false" ht="15" hidden="false" customHeight="true" outlineLevel="0" collapsed="false">
      <c r="A277" s="4" t="s">
        <v>995</v>
      </c>
    </row>
    <row r="278" customFormat="false" ht="15" hidden="false" customHeight="true" outlineLevel="0" collapsed="false">
      <c r="A278" s="74" t="s">
        <v>996</v>
      </c>
      <c r="B278" s="20"/>
      <c r="C278" s="75" t="n">
        <f aca="false">C182*C267+C269+C224+C270+$B$264+3.37195140193473</f>
        <v>305.461551401935</v>
      </c>
      <c r="D278" s="75" t="n">
        <f aca="false">D182*D267+D269+D224+D270+$B$264+3.37195140193473</f>
        <v>303.361477779292</v>
      </c>
      <c r="E278" s="75" t="n">
        <f aca="false">E182*E267+E269+E224+E270+$B$264+3.37195140193473</f>
        <v>335.449374253251</v>
      </c>
      <c r="F278" s="75" t="n">
        <f aca="false">F182*F267+F269+F224+F270+$B$264+3.37195140193473</f>
        <v>381.803038309405</v>
      </c>
      <c r="G278" s="75" t="n">
        <f aca="false">G182*G267+G269+G224+G270+$B$264+3.37195140193473</f>
        <v>379.827206222152</v>
      </c>
      <c r="H278" s="75" t="n">
        <f aca="false">H182*H267+H269+H224+H270+$B$264+3.37195140193473</f>
        <v>378.136679997303</v>
      </c>
      <c r="I278" s="75" t="n">
        <f aca="false">I182*I267+I269+I224+I270+$B$264+3.37195140193473</f>
        <v>376.673947385241</v>
      </c>
      <c r="J278" s="75" t="n">
        <f aca="false">J182*J267+J269+J224+J270+$B$264+3.37195140193473</f>
        <v>375.422734182131</v>
      </c>
      <c r="K278" s="75" t="n">
        <f aca="false">K182*K267+K269+K224+K270+$B$264+3.37195140193473</f>
        <v>374.387932898889</v>
      </c>
      <c r="L278" s="75" t="n">
        <f aca="false">L182*L267+L269+L224+L270+$B$264+3.37195140193473</f>
        <v>373.555566334898</v>
      </c>
      <c r="M278" s="75" t="n">
        <f aca="false">M182*M267+M269+M224+M270+$B$264+3.37195140193473</f>
        <v>341.013887576886</v>
      </c>
      <c r="N278" s="75" t="n">
        <f aca="false">N182*N267+N269+N224+N270+$B$264+3.37195140193473</f>
        <v>341.690552835049</v>
      </c>
      <c r="O278" s="75" t="n">
        <f aca="false">O182*O267+O269+O224+O270+$B$264+3.37195140193473</f>
        <v>342.425631546759</v>
      </c>
      <c r="P278" s="75" t="n">
        <f aca="false">P182*P267+P269+P224+P270+$B$264+3.37195140193473</f>
        <v>343.216963087439</v>
      </c>
      <c r="Q278" s="75" t="n">
        <f aca="false">Q182*Q267+Q269+Q224+Q270+$B$264+3.37195140193473</f>
        <v>344.062520122345</v>
      </c>
      <c r="R278" s="75" t="n">
        <f aca="false">R182*R267+R269+R224+R270+$B$264+3.37195140193473</f>
        <v>344.940427010218</v>
      </c>
      <c r="S278" s="75" t="n">
        <f aca="false">S182*S267+S269+S224+S270+$B$264+3.37195140193473</f>
        <v>345.86887001276</v>
      </c>
      <c r="T278" s="75" t="n">
        <f aca="false">T182*T267+T269+T224+T270+$B$264+3.37195140193473</f>
        <v>346.84617126714</v>
      </c>
      <c r="U278" s="75" t="n">
        <f aca="false">U182*U267+U269+U224+U270+$B$264+3.37195140193473</f>
        <v>347.87075448185</v>
      </c>
      <c r="V278" s="75" t="n">
        <f aca="false">V182*V267+V269+V224+V270+$B$264+3.37195140193473</f>
        <v>348.921165519026</v>
      </c>
      <c r="W278" s="75" t="n">
        <f aca="false">W182*W267+W269+W224+W270+$B$264+3.37195140193473</f>
        <v>350.015984629022</v>
      </c>
      <c r="X278" s="75" t="n">
        <f aca="false">X182*X267+X269+X224+X270+$B$264+3.37195140193473</f>
        <v>351.153902305425</v>
      </c>
      <c r="Y278" s="75" t="n">
        <f aca="false">Y182*Y267+Y269+Y224+Y270+$B$264+3.37195140193473</f>
        <v>352.333686731021</v>
      </c>
      <c r="Z278" s="75" t="n">
        <f aca="false">Z182*Z267+Z269+Z224+Z270+$B$264+3.37195140193473</f>
        <v>353.534205987284</v>
      </c>
      <c r="AA278" s="75" t="n">
        <f aca="false">AA182*AA267+AA269+AA224+AA270+$B$264+3.37195140193473</f>
        <v>354.794314601935</v>
      </c>
    </row>
    <row r="279" customFormat="false" ht="15" hidden="false" customHeight="true" outlineLevel="0" collapsed="false">
      <c r="A279" s="41" t="s">
        <v>997</v>
      </c>
      <c r="C279" s="69" t="n">
        <f aca="false">C278-C195</f>
        <v>289.461551401935</v>
      </c>
      <c r="D279" s="69" t="n">
        <f aca="false">D278-D195</f>
        <v>287.361477779292</v>
      </c>
      <c r="E279" s="69" t="n">
        <f aca="false">E278-E195</f>
        <v>319.449374253251</v>
      </c>
      <c r="F279" s="69" t="n">
        <f aca="false">F278-F195</f>
        <v>365.803038309405</v>
      </c>
      <c r="G279" s="69" t="n">
        <f aca="false">G278-G195</f>
        <v>363.827206222152</v>
      </c>
      <c r="H279" s="69" t="n">
        <f aca="false">H278-H195</f>
        <v>362.136679997303</v>
      </c>
      <c r="I279" s="69" t="n">
        <f aca="false">I278-I195</f>
        <v>360.673947385241</v>
      </c>
      <c r="J279" s="69" t="n">
        <f aca="false">J278-J195</f>
        <v>359.422734182131</v>
      </c>
      <c r="K279" s="69" t="n">
        <f aca="false">K278-K195</f>
        <v>358.387932898889</v>
      </c>
      <c r="L279" s="69" t="n">
        <f aca="false">L278-L195</f>
        <v>357.555566334898</v>
      </c>
      <c r="M279" s="69" t="n">
        <f aca="false">M278-M195</f>
        <v>325.013887576886</v>
      </c>
      <c r="N279" s="69" t="n">
        <f aca="false">N278-N195</f>
        <v>325.690552835049</v>
      </c>
      <c r="O279" s="69" t="n">
        <f aca="false">O278-O195</f>
        <v>326.425631546759</v>
      </c>
      <c r="P279" s="69" t="n">
        <f aca="false">P278-P195</f>
        <v>327.216963087439</v>
      </c>
      <c r="Q279" s="69" t="n">
        <f aca="false">Q278-Q195</f>
        <v>328.062520122345</v>
      </c>
      <c r="R279" s="69" t="n">
        <f aca="false">R278-R195</f>
        <v>328.940427010218</v>
      </c>
      <c r="S279" s="69" t="n">
        <f aca="false">S278-S195</f>
        <v>329.86887001276</v>
      </c>
      <c r="T279" s="69" t="n">
        <f aca="false">T278-T195</f>
        <v>330.84617126714</v>
      </c>
      <c r="U279" s="69" t="n">
        <f aca="false">U278-U195</f>
        <v>331.87075448185</v>
      </c>
      <c r="V279" s="69" t="n">
        <f aca="false">V278-V195</f>
        <v>332.921165519026</v>
      </c>
      <c r="W279" s="69" t="n">
        <f aca="false">W278-W195</f>
        <v>334.015984629022</v>
      </c>
      <c r="X279" s="69" t="n">
        <f aca="false">X278-X195</f>
        <v>335.153902305425</v>
      </c>
      <c r="Y279" s="69" t="n">
        <f aca="false">Y278-Y195</f>
        <v>336.333686731021</v>
      </c>
      <c r="Z279" s="69" t="n">
        <f aca="false">Z278-Z195</f>
        <v>337.534205987284</v>
      </c>
      <c r="AA279" s="69" t="n">
        <f aca="false">AA278-AA195</f>
        <v>338.794314601935</v>
      </c>
    </row>
    <row r="280" customFormat="false" ht="15" hidden="false" customHeight="true" outlineLevel="0" collapsed="false">
      <c r="A280" s="76" t="s">
        <v>998</v>
      </c>
      <c r="C280" s="77" t="n">
        <f aca="false">C279*C197</f>
        <v>268.019955001791</v>
      </c>
      <c r="D280" s="69" t="n">
        <f aca="false">D279*D197</f>
        <v>246.366150359476</v>
      </c>
      <c r="E280" s="69" t="n">
        <f aca="false">E279*E197</f>
        <v>253.589212655949</v>
      </c>
      <c r="F280" s="69" t="n">
        <f aca="false">F279*F197</f>
        <v>268.876153401058</v>
      </c>
      <c r="G280" s="69" t="n">
        <f aca="false">G279*G197</f>
        <v>247.614683178531</v>
      </c>
      <c r="H280" s="69" t="n">
        <f aca="false">H279*H197</f>
        <v>228.207536514586</v>
      </c>
      <c r="I280" s="69" t="n">
        <f aca="false">I279*I197</f>
        <v>210.449784120568</v>
      </c>
      <c r="J280" s="69" t="n">
        <f aca="false">J279*J197</f>
        <v>194.18491966123</v>
      </c>
      <c r="K280" s="69" t="n">
        <f aca="false">K279*K197</f>
        <v>179.283193265048</v>
      </c>
      <c r="L280" s="69" t="n">
        <f aca="false">L279*L197</f>
        <v>165.617409954756</v>
      </c>
      <c r="M280" s="69" t="n">
        <f aca="false">M279*M197</f>
        <v>139.392885428427</v>
      </c>
      <c r="N280" s="69" t="n">
        <f aca="false">N279*N197</f>
        <v>129.336199591817</v>
      </c>
      <c r="O280" s="69" t="n">
        <f aca="false">O279*O197</f>
        <v>120.02602727956</v>
      </c>
      <c r="P280" s="69" t="n">
        <f aca="false">P279*P197</f>
        <v>111.404628004441</v>
      </c>
      <c r="Q280" s="69" t="n">
        <f aca="false">Q279*Q197</f>
        <v>103.418988178774</v>
      </c>
      <c r="R280" s="69" t="n">
        <f aca="false">R279*R197</f>
        <v>96.0145750397306</v>
      </c>
      <c r="S280" s="69" t="n">
        <f aca="false">S279*S197</f>
        <v>89.1533136128207</v>
      </c>
      <c r="T280" s="69" t="n">
        <f aca="false">T279*T197</f>
        <v>82.793933146378</v>
      </c>
      <c r="U280" s="69" t="n">
        <f aca="false">U279*U197</f>
        <v>76.8984575010256</v>
      </c>
      <c r="V280" s="69" t="n">
        <f aca="false">V279*V197</f>
        <v>71.4276392689762</v>
      </c>
      <c r="W280" s="69" t="n">
        <f aca="false">W279*W197</f>
        <v>66.3541951356088</v>
      </c>
      <c r="X280" s="69" t="n">
        <f aca="false">X279*X197</f>
        <v>61.6483787243683</v>
      </c>
      <c r="Y280" s="69" t="n">
        <f aca="false">Y279*Y197</f>
        <v>57.2827674720397</v>
      </c>
      <c r="Z280" s="69" t="n">
        <f aca="false">Z279*Z197</f>
        <v>53.2289206022836</v>
      </c>
      <c r="AA280" s="69" t="n">
        <f aca="false">AA279*AA197</f>
        <v>49.470036014581</v>
      </c>
    </row>
    <row r="281" customFormat="false" ht="15" hidden="false" customHeight="true" outlineLevel="0" collapsed="false">
      <c r="A281" s="51" t="s">
        <v>999</v>
      </c>
      <c r="C281" s="35" t="n">
        <f aca="false">C280-C205</f>
        <v>762.394677543698</v>
      </c>
    </row>
    <row r="283" customFormat="false" ht="15" hidden="false" customHeight="true" outlineLevel="0" collapsed="false">
      <c r="A283" s="19" t="s">
        <v>1000</v>
      </c>
      <c r="B283" s="20"/>
      <c r="C283" s="78" t="n">
        <f aca="false">SUM(C275:AA275)</f>
        <v>3877.30609078115</v>
      </c>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row>
    <row r="284" customFormat="false" ht="15" hidden="false" customHeight="true" outlineLevel="0" collapsed="false">
      <c r="A284" s="76" t="s">
        <v>1001</v>
      </c>
      <c r="C284" s="71" t="n">
        <f aca="false">SUM(C275:AA275)</f>
        <v>3877.30609078115</v>
      </c>
    </row>
    <row r="285" customFormat="false" ht="15" hidden="false" customHeight="true" outlineLevel="0" collapsed="false">
      <c r="A285" s="70" t="s">
        <v>1002</v>
      </c>
      <c r="C285" s="71" t="n">
        <f aca="false">C284-C203</f>
        <v>2011.70609078115</v>
      </c>
    </row>
    <row r="286" customFormat="false" ht="15" hidden="false" customHeight="true" outlineLevel="0" collapsed="false">
      <c r="A286" s="79" t="s">
        <v>999</v>
      </c>
      <c r="B286" s="20"/>
      <c r="C286" s="78" t="n">
        <f aca="false">C285-C205</f>
        <v>2506.08081332306</v>
      </c>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row>
    <row r="287" customFormat="false" ht="15" hidden="false" customHeight="true" outlineLevel="0" collapsed="false">
      <c r="A287" s="31" t="s">
        <v>1003</v>
      </c>
    </row>
    <row r="288" customFormat="false" ht="15" hidden="false" customHeight="true" outlineLevel="0" collapsed="false">
      <c r="A288" s="31" t="s">
        <v>1004</v>
      </c>
      <c r="C288" s="35" t="n">
        <f aca="false">SUM(C280:AA280)</f>
        <v>3570.05994311383</v>
      </c>
    </row>
    <row r="289" customFormat="false" ht="15" hidden="false" customHeight="true" outlineLevel="0" collapsed="false">
      <c r="A289" s="80" t="s">
        <v>1005</v>
      </c>
      <c r="C289" s="71" t="n">
        <f aca="false">C288-C209</f>
        <v>1214.05994311383</v>
      </c>
    </row>
    <row r="290" customFormat="false" ht="15" hidden="false" customHeight="true" outlineLevel="0" collapsed="false">
      <c r="A290" s="41" t="s">
        <v>1006</v>
      </c>
      <c r="C290" s="35" t="n">
        <f aca="false">SUM(C280:AA280)</f>
        <v>3570.05994311383</v>
      </c>
    </row>
    <row r="291" customFormat="false" ht="15" hidden="false" customHeight="true" outlineLevel="0" collapsed="false">
      <c r="A291" s="70" t="s">
        <v>1007</v>
      </c>
      <c r="B291" s="20"/>
      <c r="C291" s="71" t="n">
        <f aca="false">C290-C209</f>
        <v>1214.05994311383</v>
      </c>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row>
    <row r="292" customFormat="false" ht="15" hidden="false" customHeight="true" outlineLevel="0" collapsed="false">
      <c r="A292" s="51" t="s">
        <v>1008</v>
      </c>
      <c r="C292" s="35" t="n">
        <f aca="false">C291-C211</f>
        <v>2285.64108534469</v>
      </c>
    </row>
    <row r="293" customFormat="false" ht="15" hidden="false" customHeight="true" outlineLevel="0" collapsed="false">
      <c r="A293" s="19" t="s">
        <v>1009</v>
      </c>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row>
    <row r="294" customFormat="false" ht="15" hidden="false" customHeight="true" outlineLevel="0" collapsed="false">
      <c r="A294" s="30" t="s">
        <v>1010</v>
      </c>
    </row>
    <row r="295" customFormat="false" ht="15" hidden="false" customHeight="true" outlineLevel="0" collapsed="false">
      <c r="A295" s="30" t="s">
        <v>1011</v>
      </c>
    </row>
    <row r="296" customFormat="false" ht="15" hidden="false" customHeight="true" outlineLevel="0" collapsed="false">
      <c r="A296" s="30" t="s">
        <v>1012</v>
      </c>
    </row>
    <row r="297" customFormat="false" ht="15" hidden="false" customHeight="true" outlineLevel="0" collapsed="false">
      <c r="A297" s="30" t="s">
        <v>1013</v>
      </c>
    </row>
    <row r="298" customFormat="false" ht="15" hidden="false" customHeight="true" outlineLevel="0" collapsed="false">
      <c r="A298" s="30"/>
      <c r="B298" s="47" t="n">
        <v>1</v>
      </c>
    </row>
    <row r="299" customFormat="false" ht="15" hidden="false" customHeight="true" outlineLevel="0" collapsed="false">
      <c r="A299" s="30" t="s">
        <v>1014</v>
      </c>
      <c r="B299" s="42" t="n">
        <v>5</v>
      </c>
    </row>
    <row r="300" customFormat="false" ht="15" hidden="false" customHeight="true" outlineLevel="0" collapsed="false">
      <c r="A300" s="30" t="s">
        <v>1015</v>
      </c>
    </row>
    <row r="301" customFormat="false" ht="15" hidden="false" customHeight="true" outlineLevel="0" collapsed="false">
      <c r="A301" s="30" t="s">
        <v>1016</v>
      </c>
      <c r="C301" s="69" t="n">
        <f aca="false">C183*$B$298</f>
        <v>55.8</v>
      </c>
      <c r="D301" s="69" t="n">
        <f aca="false">D183*$B$298</f>
        <v>55.8</v>
      </c>
      <c r="E301" s="69" t="n">
        <f aca="false">E183*$B$298</f>
        <v>55.8</v>
      </c>
      <c r="F301" s="69" t="n">
        <f aca="false">F183*$B$298</f>
        <v>55.8</v>
      </c>
      <c r="G301" s="69" t="n">
        <f aca="false">G183*$B$298</f>
        <v>55.8</v>
      </c>
      <c r="H301" s="69" t="n">
        <f aca="false">H183*$B$298</f>
        <v>55.8</v>
      </c>
      <c r="I301" s="69" t="n">
        <f aca="false">I183*$B$298</f>
        <v>55.8</v>
      </c>
      <c r="J301" s="69" t="n">
        <f aca="false">J183*$B$298</f>
        <v>55.8</v>
      </c>
      <c r="K301" s="69" t="n">
        <f aca="false">K183*$B$298</f>
        <v>55.8</v>
      </c>
      <c r="L301" s="69" t="n">
        <f aca="false">L183*$B$298</f>
        <v>55.8</v>
      </c>
      <c r="M301" s="69" t="n">
        <f aca="false">M183*$B$298</f>
        <v>55.8</v>
      </c>
      <c r="N301" s="69" t="n">
        <f aca="false">N183*$B$298</f>
        <v>55.8</v>
      </c>
      <c r="O301" s="69" t="n">
        <f aca="false">O183*$B$298</f>
        <v>55.8</v>
      </c>
      <c r="P301" s="69" t="n">
        <f aca="false">P183*$B$298</f>
        <v>55.8</v>
      </c>
      <c r="Q301" s="69" t="n">
        <f aca="false">Q183*$B$298</f>
        <v>55.8</v>
      </c>
      <c r="R301" s="69" t="n">
        <f aca="false">R183*$B$298</f>
        <v>55.8</v>
      </c>
      <c r="S301" s="69" t="n">
        <f aca="false">S183*$B$298</f>
        <v>55.8</v>
      </c>
      <c r="T301" s="69" t="n">
        <f aca="false">T183*$B$298</f>
        <v>55.8</v>
      </c>
      <c r="U301" s="69" t="n">
        <f aca="false">U183*$B$298</f>
        <v>55.8</v>
      </c>
      <c r="V301" s="69" t="n">
        <f aca="false">V183*$B$298</f>
        <v>55.8</v>
      </c>
      <c r="W301" s="69" t="n">
        <f aca="false">W183*$B$298</f>
        <v>55.8</v>
      </c>
      <c r="X301" s="69" t="n">
        <f aca="false">X183*$B$298</f>
        <v>55.8</v>
      </c>
      <c r="Y301" s="69" t="n">
        <f aca="false">Y183*$B$298</f>
        <v>55.8</v>
      </c>
      <c r="Z301" s="69" t="n">
        <f aca="false">Z183*$B$298</f>
        <v>55.8</v>
      </c>
      <c r="AA301" s="69" t="n">
        <f aca="false">AA183*$B$298</f>
        <v>55.8</v>
      </c>
    </row>
    <row r="302" customFormat="false" ht="15" hidden="false" customHeight="true" outlineLevel="0" collapsed="false">
      <c r="A302" s="30" t="s">
        <v>1017</v>
      </c>
      <c r="C302" s="69" t="n">
        <f aca="false">IF(0&lt;$B$299,MAX(C183,C301),C301)</f>
        <v>55.8</v>
      </c>
      <c r="D302" s="69" t="n">
        <f aca="false">IF(1&lt;$B$299,MAX(D183,D301),D301)</f>
        <v>55.8</v>
      </c>
      <c r="E302" s="69" t="n">
        <f aca="false">IF(2&lt;$B$299,MAX(E183,E301),E301)</f>
        <v>55.8</v>
      </c>
      <c r="F302" s="69" t="n">
        <f aca="false">IF(3&lt;$B$299,MAX(F183,F301),F301)</f>
        <v>55.8</v>
      </c>
      <c r="G302" s="69" t="n">
        <f aca="false">IF(4&lt;$B$299,MAX(G183,G301),G301)</f>
        <v>55.8</v>
      </c>
      <c r="H302" s="69" t="n">
        <f aca="false">IF(5&lt;$B$299,MAX(H183,H301),H301)</f>
        <v>55.8</v>
      </c>
      <c r="I302" s="69" t="n">
        <f aca="false">IF(6&lt;$B$299,MAX(I183,I301),I301)</f>
        <v>55.8</v>
      </c>
      <c r="J302" s="69" t="n">
        <f aca="false">IF(7&lt;$B$299,MAX(J183,J301),J301)</f>
        <v>55.8</v>
      </c>
      <c r="K302" s="69" t="n">
        <f aca="false">IF(8&lt;$B$299,MAX(K183,K301),K301)</f>
        <v>55.8</v>
      </c>
      <c r="L302" s="69" t="n">
        <f aca="false">IF(9&lt;$B$299,MAX(L183,L301),L301)</f>
        <v>55.8</v>
      </c>
      <c r="M302" s="69" t="n">
        <f aca="false">IF(10&lt;$B$299,MAX(M183,M301),M301)</f>
        <v>55.8</v>
      </c>
      <c r="N302" s="69" t="n">
        <f aca="false">IF(11&lt;$B$299,MAX(N183,N301),N301)</f>
        <v>55.8</v>
      </c>
      <c r="O302" s="69" t="n">
        <f aca="false">IF(12&lt;$B$299,MAX(O183,O301),O301)</f>
        <v>55.8</v>
      </c>
      <c r="P302" s="69" t="n">
        <f aca="false">IF(13&lt;$B$299,MAX(P183,P301),P301)</f>
        <v>55.8</v>
      </c>
      <c r="Q302" s="69" t="n">
        <f aca="false">IF(14&lt;$B$299,MAX(Q183,Q301),Q301)</f>
        <v>55.8</v>
      </c>
      <c r="R302" s="69" t="n">
        <f aca="false">IF(15&lt;$B$299,MAX(R183,R301),R301)</f>
        <v>55.8</v>
      </c>
      <c r="S302" s="69" t="n">
        <f aca="false">IF(16&lt;$B$299,MAX(S183,S301),S301)</f>
        <v>55.8</v>
      </c>
      <c r="T302" s="69" t="n">
        <f aca="false">IF(17&lt;$B$299,MAX(T183,T301),T301)</f>
        <v>55.8</v>
      </c>
      <c r="U302" s="69" t="n">
        <f aca="false">IF(18&lt;$B$299,MAX(U183,U301),U301)</f>
        <v>55.8</v>
      </c>
      <c r="V302" s="69" t="n">
        <f aca="false">IF(19&lt;$B$299,MAX(V183,V301),V301)</f>
        <v>55.8</v>
      </c>
      <c r="W302" s="69" t="n">
        <f aca="false">IF(20&lt;$B$299,MAX(W183,W301),W301)</f>
        <v>55.8</v>
      </c>
      <c r="X302" s="69" t="n">
        <f aca="false">IF(21&lt;$B$299,MAX(X183,X301),X301)</f>
        <v>55.8</v>
      </c>
      <c r="Y302" s="69" t="n">
        <f aca="false">IF(22&lt;$B$299,MAX(Y183,Y301),Y301)</f>
        <v>55.8</v>
      </c>
      <c r="Z302" s="69" t="n">
        <f aca="false">IF(23&lt;$B$299,MAX(Z183,Z301),Z301)</f>
        <v>55.8</v>
      </c>
      <c r="AA302" s="69" t="n">
        <f aca="false">IF(24&lt;$B$299,MAX(AA183,AA301),AA301)</f>
        <v>55.8</v>
      </c>
    </row>
    <row r="303" customFormat="false" ht="15" hidden="false" customHeight="true" outlineLevel="0" collapsed="false">
      <c r="A303" s="30" t="s">
        <v>1018</v>
      </c>
      <c r="B303" s="47" t="n">
        <v>1</v>
      </c>
    </row>
    <row r="304" customFormat="false" ht="15" hidden="false" customHeight="true" outlineLevel="0" collapsed="false">
      <c r="A304" s="41" t="s">
        <v>1019</v>
      </c>
      <c r="B304" s="42" t="n">
        <v>5</v>
      </c>
    </row>
    <row r="305" customFormat="false" ht="15" hidden="false" customHeight="true" outlineLevel="0" collapsed="false">
      <c r="A305" s="41" t="s">
        <v>1020</v>
      </c>
      <c r="B305" s="47" t="n">
        <v>1</v>
      </c>
      <c r="C305" s="69" t="n">
        <f aca="false">C182*C302+C184</f>
        <v>155.008224</v>
      </c>
      <c r="D305" s="69" t="n">
        <f aca="false">D182*D302+D184</f>
        <v>152.908150377358</v>
      </c>
      <c r="E305" s="69" t="n">
        <f aca="false">E182*E302+E184</f>
        <v>149.045006851316</v>
      </c>
      <c r="F305" s="69" t="n">
        <f aca="false">F182*F302+F184</f>
        <v>145.466670907471</v>
      </c>
      <c r="G305" s="69" t="n">
        <f aca="false">G182*G302+G184</f>
        <v>142.152661220217</v>
      </c>
      <c r="H305" s="69" t="n">
        <f aca="false">H182*H302+H184</f>
        <v>139.084011795368</v>
      </c>
      <c r="I305" s="69" t="n">
        <f aca="false">I182*I302+I184</f>
        <v>136.243155983306</v>
      </c>
      <c r="J305" s="69" t="n">
        <f aca="false">J182*J302+J184</f>
        <v>133.613819580196</v>
      </c>
      <c r="K305" s="69" t="n">
        <f aca="false">K182*K302+K184</f>
        <v>131.180922296954</v>
      </c>
      <c r="L305" s="69" t="n">
        <f aca="false">L182*L302+L184</f>
        <v>128.930486932964</v>
      </c>
      <c r="M305" s="69" t="n">
        <f aca="false">M182*M302+M184</f>
        <v>128.128366574951</v>
      </c>
      <c r="N305" s="69" t="n">
        <f aca="false">N182*N302+N184</f>
        <v>127.366990233114</v>
      </c>
      <c r="O305" s="69" t="n">
        <f aca="false">O182*O302+O184</f>
        <v>126.644054544824</v>
      </c>
      <c r="P305" s="69" t="n">
        <f aca="false">P182*P302+P184</f>
        <v>125.957398885505</v>
      </c>
      <c r="Q305" s="69" t="n">
        <f aca="false">Q182*Q302+Q184</f>
        <v>125.30499592041</v>
      </c>
      <c r="R305" s="69" t="n">
        <f aca="false">R182*R302+R184</f>
        <v>124.684942808284</v>
      </c>
      <c r="S305" s="69" t="n">
        <f aca="false">S182*S302+S184</f>
        <v>124.095453010826</v>
      </c>
      <c r="T305" s="69" t="n">
        <f aca="false">T182*T302+T184</f>
        <v>123.534848665206</v>
      </c>
      <c r="U305" s="69" t="n">
        <f aca="false">U182*U302+U184</f>
        <v>123.001553479915</v>
      </c>
      <c r="V305" s="69" t="n">
        <f aca="false">V182*V302+V184</f>
        <v>122.494086117091</v>
      </c>
      <c r="W305" s="69" t="n">
        <f aca="false">W182*W302+W184</f>
        <v>122.011054027087</v>
      </c>
      <c r="X305" s="69" t="n">
        <f aca="false">X182*X302+X184</f>
        <v>121.55114770349</v>
      </c>
      <c r="Y305" s="69" t="n">
        <f aca="false">Y182*Y302+Y184</f>
        <v>121.113135329087</v>
      </c>
      <c r="Z305" s="69" t="n">
        <f aca="false">Z182*Z302+Z184</f>
        <v>120.69585778535</v>
      </c>
      <c r="AA305" s="69" t="n">
        <f aca="false">AA182*AA302+AA184</f>
        <v>120.298224</v>
      </c>
    </row>
    <row r="306" customFormat="false" ht="15" hidden="false" customHeight="true" outlineLevel="0" collapsed="false">
      <c r="A306" s="41" t="s">
        <v>1019</v>
      </c>
      <c r="B306" s="42" t="n">
        <v>5</v>
      </c>
      <c r="C306" s="69" t="n">
        <f aca="false">C183*$B$303</f>
        <v>55.8</v>
      </c>
      <c r="D306" s="69" t="n">
        <f aca="false">D183*$B$303</f>
        <v>55.8</v>
      </c>
      <c r="E306" s="69" t="n">
        <f aca="false">E183*$B$303</f>
        <v>55.8</v>
      </c>
      <c r="F306" s="69" t="n">
        <f aca="false">F183*$B$303</f>
        <v>55.8</v>
      </c>
      <c r="G306" s="69" t="n">
        <f aca="false">G183*$B$303</f>
        <v>55.8</v>
      </c>
      <c r="H306" s="69" t="n">
        <f aca="false">H183*$B$303</f>
        <v>55.8</v>
      </c>
      <c r="I306" s="69" t="n">
        <f aca="false">I183*$B$303</f>
        <v>55.8</v>
      </c>
      <c r="J306" s="69" t="n">
        <f aca="false">J183*$B$303</f>
        <v>55.8</v>
      </c>
      <c r="K306" s="69" t="n">
        <f aca="false">K183*$B$303</f>
        <v>55.8</v>
      </c>
      <c r="L306" s="69" t="n">
        <f aca="false">L183*$B$303</f>
        <v>55.8</v>
      </c>
      <c r="M306" s="69" t="n">
        <f aca="false">M183*$B$303</f>
        <v>55.8</v>
      </c>
      <c r="N306" s="69" t="n">
        <f aca="false">N183*$B$303</f>
        <v>55.8</v>
      </c>
      <c r="O306" s="69" t="n">
        <f aca="false">O183*$B$303</f>
        <v>55.8</v>
      </c>
      <c r="P306" s="69" t="n">
        <f aca="false">P183*$B$303</f>
        <v>55.8</v>
      </c>
      <c r="Q306" s="69" t="n">
        <f aca="false">Q183*$B$303</f>
        <v>55.8</v>
      </c>
      <c r="R306" s="69" t="n">
        <f aca="false">R183*$B$303</f>
        <v>55.8</v>
      </c>
      <c r="S306" s="69" t="n">
        <f aca="false">S183*$B$303</f>
        <v>55.8</v>
      </c>
      <c r="T306" s="69" t="n">
        <f aca="false">T183*$B$303</f>
        <v>55.8</v>
      </c>
      <c r="U306" s="69" t="n">
        <f aca="false">U183*$B$303</f>
        <v>55.8</v>
      </c>
      <c r="V306" s="69" t="n">
        <f aca="false">V183*$B$303</f>
        <v>55.8</v>
      </c>
      <c r="W306" s="69" t="n">
        <f aca="false">W183*$B$303</f>
        <v>55.8</v>
      </c>
      <c r="X306" s="69" t="n">
        <f aca="false">X183*$B$303</f>
        <v>55.8</v>
      </c>
      <c r="Y306" s="69" t="n">
        <f aca="false">Y183*$B$303</f>
        <v>55.8</v>
      </c>
      <c r="Z306" s="69" t="n">
        <f aca="false">Z183*$B$303</f>
        <v>55.8</v>
      </c>
      <c r="AA306" s="69" t="n">
        <f aca="false">AA183*$B$303</f>
        <v>55.8</v>
      </c>
    </row>
    <row r="307" customFormat="false" ht="15" hidden="false" customHeight="true" outlineLevel="0" collapsed="false">
      <c r="A307" s="41" t="s">
        <v>1021</v>
      </c>
      <c r="C307" s="69" t="n">
        <f aca="false">IF(0&lt;$B$304,MAX(C183,C306),C306)</f>
        <v>55.8</v>
      </c>
      <c r="D307" s="69" t="n">
        <f aca="false">IF(1&lt;$B$304,MAX(D183,D306),D306)</f>
        <v>55.8</v>
      </c>
      <c r="E307" s="69" t="n">
        <f aca="false">IF(2&lt;$B$304,MAX(E183,E306),E306)</f>
        <v>55.8</v>
      </c>
      <c r="F307" s="69" t="n">
        <f aca="false">IF(3&lt;$B$304,MAX(F183,F306),F306)</f>
        <v>55.8</v>
      </c>
      <c r="G307" s="69" t="n">
        <f aca="false">IF(4&lt;$B$304,MAX(G183,G306),G306)</f>
        <v>55.8</v>
      </c>
      <c r="H307" s="69" t="n">
        <f aca="false">IF(5&lt;$B$304,MAX(H183,H306),H306)</f>
        <v>55.8</v>
      </c>
      <c r="I307" s="69" t="n">
        <f aca="false">IF(6&lt;$B$304,MAX(I183,I306),I306)</f>
        <v>55.8</v>
      </c>
      <c r="J307" s="69" t="n">
        <f aca="false">IF(7&lt;$B$304,MAX(J183,J306),J306)</f>
        <v>55.8</v>
      </c>
      <c r="K307" s="69" t="n">
        <f aca="false">IF(8&lt;$B$304,MAX(K183,K306),K306)</f>
        <v>55.8</v>
      </c>
      <c r="L307" s="69" t="n">
        <f aca="false">IF(9&lt;$B$304,MAX(L183,L306),L306)</f>
        <v>55.8</v>
      </c>
      <c r="M307" s="69" t="n">
        <f aca="false">IF(10&lt;$B$304,MAX(M183,M306),M306)</f>
        <v>55.8</v>
      </c>
      <c r="N307" s="69" t="n">
        <f aca="false">IF(11&lt;$B$304,MAX(N183,N306),N306)</f>
        <v>55.8</v>
      </c>
      <c r="O307" s="69" t="n">
        <f aca="false">IF(12&lt;$B$304,MAX(O183,O306),O306)</f>
        <v>55.8</v>
      </c>
      <c r="P307" s="69" t="n">
        <f aca="false">IF(13&lt;$B$304,MAX(P183,P306),P306)</f>
        <v>55.8</v>
      </c>
      <c r="Q307" s="69" t="n">
        <f aca="false">IF(14&lt;$B$304,MAX(Q183,Q306),Q306)</f>
        <v>55.8</v>
      </c>
      <c r="R307" s="69" t="n">
        <f aca="false">IF(15&lt;$B$304,MAX(R183,R306),R306)</f>
        <v>55.8</v>
      </c>
      <c r="S307" s="69" t="n">
        <f aca="false">IF(16&lt;$B$304,MAX(S183,S306),S306)</f>
        <v>55.8</v>
      </c>
      <c r="T307" s="69" t="n">
        <f aca="false">IF(17&lt;$B$304,MAX(T183,T306),T306)</f>
        <v>55.8</v>
      </c>
      <c r="U307" s="69" t="n">
        <f aca="false">IF(18&lt;$B$304,MAX(U183,U306),U306)</f>
        <v>55.8</v>
      </c>
      <c r="V307" s="69" t="n">
        <f aca="false">IF(19&lt;$B$304,MAX(V183,V306),V306)</f>
        <v>55.8</v>
      </c>
      <c r="W307" s="69" t="n">
        <f aca="false">IF(20&lt;$B$304,MAX(W183,W306),W306)</f>
        <v>55.8</v>
      </c>
      <c r="X307" s="69" t="n">
        <f aca="false">IF(21&lt;$B$304,MAX(X183,X306),X306)</f>
        <v>55.8</v>
      </c>
      <c r="Y307" s="69" t="n">
        <f aca="false">IF(22&lt;$B$304,MAX(Y183,Y306),Y306)</f>
        <v>55.8</v>
      </c>
      <c r="Z307" s="69" t="n">
        <f aca="false">IF(23&lt;$B$304,MAX(Z183,Z306),Z306)</f>
        <v>55.8</v>
      </c>
      <c r="AA307" s="69" t="n">
        <f aca="false">IF(24&lt;$B$304,MAX(AA183,AA306),AA306)</f>
        <v>55.8</v>
      </c>
    </row>
    <row r="308" customFormat="false" ht="15" hidden="false" customHeight="true" outlineLevel="0" collapsed="false">
      <c r="A308" s="41" t="s">
        <v>1022</v>
      </c>
      <c r="C308" s="69" t="n">
        <f aca="false">C183*$B$305</f>
        <v>55.8</v>
      </c>
      <c r="D308" s="69" t="n">
        <f aca="false">D183*$B$305</f>
        <v>55.8</v>
      </c>
      <c r="E308" s="69" t="n">
        <f aca="false">E183*$B$305</f>
        <v>55.8</v>
      </c>
      <c r="F308" s="69" t="n">
        <f aca="false">F183*$B$305</f>
        <v>55.8</v>
      </c>
      <c r="G308" s="69" t="n">
        <f aca="false">G183*$B$305</f>
        <v>55.8</v>
      </c>
      <c r="H308" s="69" t="n">
        <f aca="false">H183*$B$305</f>
        <v>55.8</v>
      </c>
      <c r="I308" s="69" t="n">
        <f aca="false">I183*$B$305</f>
        <v>55.8</v>
      </c>
      <c r="J308" s="69" t="n">
        <f aca="false">J183*$B$305</f>
        <v>55.8</v>
      </c>
      <c r="K308" s="69" t="n">
        <f aca="false">K183*$B$305</f>
        <v>55.8</v>
      </c>
      <c r="L308" s="69" t="n">
        <f aca="false">L183*$B$305</f>
        <v>55.8</v>
      </c>
      <c r="M308" s="69" t="n">
        <f aca="false">M183*$B$305</f>
        <v>55.8</v>
      </c>
      <c r="N308" s="69" t="n">
        <f aca="false">N183*$B$305</f>
        <v>55.8</v>
      </c>
      <c r="O308" s="69" t="n">
        <f aca="false">O183*$B$305</f>
        <v>55.8</v>
      </c>
      <c r="P308" s="69" t="n">
        <f aca="false">P183*$B$305</f>
        <v>55.8</v>
      </c>
      <c r="Q308" s="69" t="n">
        <f aca="false">Q183*$B$305</f>
        <v>55.8</v>
      </c>
      <c r="R308" s="69" t="n">
        <f aca="false">R183*$B$305</f>
        <v>55.8</v>
      </c>
      <c r="S308" s="69" t="n">
        <f aca="false">S183*$B$305</f>
        <v>55.8</v>
      </c>
      <c r="T308" s="69" t="n">
        <f aca="false">T183*$B$305</f>
        <v>55.8</v>
      </c>
      <c r="U308" s="69" t="n">
        <f aca="false">U183*$B$305</f>
        <v>55.8</v>
      </c>
      <c r="V308" s="69" t="n">
        <f aca="false">V183*$B$305</f>
        <v>55.8</v>
      </c>
      <c r="W308" s="69" t="n">
        <f aca="false">W183*$B$305</f>
        <v>55.8</v>
      </c>
      <c r="X308" s="69" t="n">
        <f aca="false">X183*$B$305</f>
        <v>55.8</v>
      </c>
      <c r="Y308" s="69" t="n">
        <f aca="false">Y183*$B$305</f>
        <v>55.8</v>
      </c>
      <c r="Z308" s="69" t="n">
        <f aca="false">Z183*$B$305</f>
        <v>55.8</v>
      </c>
      <c r="AA308" s="69" t="n">
        <f aca="false">AA183*$B$305</f>
        <v>55.8</v>
      </c>
    </row>
    <row r="309" customFormat="false" ht="15" hidden="false" customHeight="true" outlineLevel="0" collapsed="false">
      <c r="A309" s="41" t="s">
        <v>1021</v>
      </c>
      <c r="C309" s="69" t="n">
        <f aca="false">IF(0&lt;$B$306,MAX(C183,C308),C308)</f>
        <v>55.8</v>
      </c>
      <c r="D309" s="69" t="n">
        <f aca="false">IF(1&lt;$B$306,MAX(D183,D308),D308)</f>
        <v>55.8</v>
      </c>
      <c r="E309" s="69" t="n">
        <f aca="false">IF(2&lt;$B$306,MAX(E183,E308),E308)</f>
        <v>55.8</v>
      </c>
      <c r="F309" s="69" t="n">
        <f aca="false">IF(3&lt;$B$306,MAX(F183,F308),F308)</f>
        <v>55.8</v>
      </c>
      <c r="G309" s="69" t="n">
        <f aca="false">IF(4&lt;$B$306,MAX(G183,G308),G308)</f>
        <v>55.8</v>
      </c>
      <c r="H309" s="69" t="n">
        <f aca="false">IF(5&lt;$B$306,MAX(H183,H308),H308)</f>
        <v>55.8</v>
      </c>
      <c r="I309" s="69" t="n">
        <f aca="false">IF(6&lt;$B$306,MAX(I183,I308),I308)</f>
        <v>55.8</v>
      </c>
      <c r="J309" s="69" t="n">
        <f aca="false">IF(7&lt;$B$306,MAX(J183,J308),J308)</f>
        <v>55.8</v>
      </c>
      <c r="K309" s="69" t="n">
        <f aca="false">IF(8&lt;$B$306,MAX(K183,K308),K308)</f>
        <v>55.8</v>
      </c>
      <c r="L309" s="69" t="n">
        <f aca="false">IF(9&lt;$B$306,MAX(L183,L308),L308)</f>
        <v>55.8</v>
      </c>
      <c r="M309" s="69" t="n">
        <f aca="false">IF(10&lt;$B$306,MAX(M183,M308),M308)</f>
        <v>55.8</v>
      </c>
      <c r="N309" s="69" t="n">
        <f aca="false">IF(11&lt;$B$306,MAX(N183,N308),N308)</f>
        <v>55.8</v>
      </c>
      <c r="O309" s="69" t="n">
        <f aca="false">IF(12&lt;$B$306,MAX(O183,O308),O308)</f>
        <v>55.8</v>
      </c>
      <c r="P309" s="69" t="n">
        <f aca="false">IF(13&lt;$B$306,MAX(P183,P308),P308)</f>
        <v>55.8</v>
      </c>
      <c r="Q309" s="69" t="n">
        <f aca="false">IF(14&lt;$B$306,MAX(Q183,Q308),Q308)</f>
        <v>55.8</v>
      </c>
      <c r="R309" s="69" t="n">
        <f aca="false">IF(15&lt;$B$306,MAX(R183,R308),R308)</f>
        <v>55.8</v>
      </c>
      <c r="S309" s="69" t="n">
        <f aca="false">IF(16&lt;$B$306,MAX(S183,S308),S308)</f>
        <v>55.8</v>
      </c>
      <c r="T309" s="69" t="n">
        <f aca="false">IF(17&lt;$B$306,MAX(T183,T308),T308)</f>
        <v>55.8</v>
      </c>
      <c r="U309" s="69" t="n">
        <f aca="false">IF(18&lt;$B$306,MAX(U183,U308),U308)</f>
        <v>55.8</v>
      </c>
      <c r="V309" s="69" t="n">
        <f aca="false">IF(19&lt;$B$306,MAX(V183,V308),V308)</f>
        <v>55.8</v>
      </c>
      <c r="W309" s="69" t="n">
        <f aca="false">IF(20&lt;$B$306,MAX(W183,W308),W308)</f>
        <v>55.8</v>
      </c>
      <c r="X309" s="69" t="n">
        <f aca="false">IF(21&lt;$B$306,MAX(X183,X308),X308)</f>
        <v>55.8</v>
      </c>
      <c r="Y309" s="69" t="n">
        <f aca="false">IF(22&lt;$B$306,MAX(Y183,Y308),Y308)</f>
        <v>55.8</v>
      </c>
      <c r="Z309" s="69" t="n">
        <f aca="false">IF(23&lt;$B$306,MAX(Z183,Z308),Z308)</f>
        <v>55.8</v>
      </c>
      <c r="AA309" s="69" t="n">
        <f aca="false">IF(24&lt;$B$306,MAX(AA183,AA308),AA308)</f>
        <v>55.8</v>
      </c>
    </row>
    <row r="310" customFormat="false" ht="15" hidden="false" customHeight="true" outlineLevel="0" collapsed="false">
      <c r="A310" s="41" t="s">
        <v>1023</v>
      </c>
      <c r="C310" s="69" t="n">
        <f aca="false">C182*C307+C184</f>
        <v>155.008224</v>
      </c>
      <c r="D310" s="69" t="n">
        <f aca="false">D182*D307+D184</f>
        <v>152.908150377358</v>
      </c>
      <c r="E310" s="69" t="n">
        <f aca="false">E182*E307+E184</f>
        <v>149.045006851316</v>
      </c>
      <c r="F310" s="69" t="n">
        <f aca="false">F182*F307+F184</f>
        <v>145.466670907471</v>
      </c>
      <c r="G310" s="69" t="n">
        <f aca="false">G182*G307+G184</f>
        <v>142.152661220217</v>
      </c>
      <c r="H310" s="69" t="n">
        <f aca="false">H182*H307+H184</f>
        <v>139.084011795368</v>
      </c>
      <c r="I310" s="69" t="n">
        <f aca="false">I182*I307+I184</f>
        <v>136.243155983306</v>
      </c>
      <c r="J310" s="69" t="n">
        <f aca="false">J182*J307+J184</f>
        <v>133.613819580196</v>
      </c>
      <c r="K310" s="69" t="n">
        <f aca="false">K182*K307+K184</f>
        <v>131.180922296954</v>
      </c>
      <c r="L310" s="69" t="n">
        <f aca="false">L182*L307+L184</f>
        <v>128.930486932964</v>
      </c>
      <c r="M310" s="69" t="n">
        <f aca="false">M182*M307+M184</f>
        <v>128.128366574951</v>
      </c>
      <c r="N310" s="69" t="n">
        <f aca="false">N182*N307+N184</f>
        <v>127.366990233114</v>
      </c>
      <c r="O310" s="69" t="n">
        <f aca="false">O182*O307+O184</f>
        <v>126.644054544824</v>
      </c>
      <c r="P310" s="69" t="n">
        <f aca="false">P182*P307+P184</f>
        <v>125.957398885505</v>
      </c>
      <c r="Q310" s="69" t="n">
        <f aca="false">Q182*Q307+Q184</f>
        <v>125.30499592041</v>
      </c>
      <c r="R310" s="69" t="n">
        <f aca="false">R182*R307+R184</f>
        <v>124.684942808284</v>
      </c>
      <c r="S310" s="69" t="n">
        <f aca="false">S182*S307+S184</f>
        <v>124.095453010826</v>
      </c>
      <c r="T310" s="69" t="n">
        <f aca="false">T182*T307+T184</f>
        <v>123.534848665206</v>
      </c>
      <c r="U310" s="69" t="n">
        <f aca="false">U182*U307+U184</f>
        <v>123.001553479915</v>
      </c>
      <c r="V310" s="69" t="n">
        <f aca="false">V182*V307+V184</f>
        <v>122.494086117091</v>
      </c>
      <c r="W310" s="69" t="n">
        <f aca="false">W182*W307+W184</f>
        <v>122.011054027087</v>
      </c>
      <c r="X310" s="69" t="n">
        <f aca="false">X182*X307+X184</f>
        <v>121.55114770349</v>
      </c>
      <c r="Y310" s="69" t="n">
        <f aca="false">Y182*Y307+Y184</f>
        <v>121.113135329087</v>
      </c>
      <c r="Z310" s="69" t="n">
        <f aca="false">Z182*Z307+Z184</f>
        <v>120.69585778535</v>
      </c>
      <c r="AA310" s="69" t="n">
        <f aca="false">AA182*AA307+AA184</f>
        <v>120.298224</v>
      </c>
    </row>
    <row r="311" customFormat="false" ht="15" hidden="false" customHeight="true" outlineLevel="0" collapsed="false">
      <c r="A311" s="4" t="s">
        <v>1024</v>
      </c>
      <c r="C311" s="69" t="n">
        <f aca="false">C310-C188</f>
        <v>137.008224</v>
      </c>
      <c r="D311" s="69" t="n">
        <f aca="false">D310-D188</f>
        <v>134.908150377358</v>
      </c>
      <c r="E311" s="69" t="n">
        <f aca="false">E310-E188</f>
        <v>131.045006851316</v>
      </c>
      <c r="F311" s="69" t="n">
        <f aca="false">F310-F188</f>
        <v>127.466670907471</v>
      </c>
      <c r="G311" s="69" t="n">
        <f aca="false">G310-G188</f>
        <v>124.152661220217</v>
      </c>
      <c r="H311" s="69" t="n">
        <f aca="false">H310-H188</f>
        <v>121.084011795368</v>
      </c>
      <c r="I311" s="69" t="n">
        <f aca="false">I310-I188</f>
        <v>118.243155983306</v>
      </c>
      <c r="J311" s="69" t="n">
        <f aca="false">J310-J188</f>
        <v>115.613819580196</v>
      </c>
      <c r="K311" s="69" t="n">
        <f aca="false">K310-K188</f>
        <v>113.180922296954</v>
      </c>
      <c r="L311" s="69" t="n">
        <f aca="false">L310-L188</f>
        <v>110.930486932964</v>
      </c>
      <c r="M311" s="69" t="n">
        <f aca="false">M310-M188</f>
        <v>110.128366574951</v>
      </c>
      <c r="N311" s="69" t="n">
        <f aca="false">N310-N188</f>
        <v>109.366990233114</v>
      </c>
      <c r="O311" s="69" t="n">
        <f aca="false">O310-O188</f>
        <v>108.644054544824</v>
      </c>
      <c r="P311" s="69" t="n">
        <f aca="false">P310-P188</f>
        <v>107.957398885505</v>
      </c>
      <c r="Q311" s="69" t="n">
        <f aca="false">Q310-Q188</f>
        <v>107.30499592041</v>
      </c>
      <c r="R311" s="69" t="n">
        <f aca="false">R310-R188</f>
        <v>106.684942808284</v>
      </c>
      <c r="S311" s="69" t="n">
        <f aca="false">S310-S188</f>
        <v>106.095453010826</v>
      </c>
      <c r="T311" s="69" t="n">
        <f aca="false">T310-T188</f>
        <v>105.534848665206</v>
      </c>
      <c r="U311" s="69" t="n">
        <f aca="false">U310-U188</f>
        <v>105.001553479915</v>
      </c>
      <c r="V311" s="69" t="n">
        <f aca="false">V310-V188</f>
        <v>104.494086117091</v>
      </c>
      <c r="W311" s="69" t="n">
        <f aca="false">W310-W188</f>
        <v>104.011054027087</v>
      </c>
      <c r="X311" s="69" t="n">
        <f aca="false">X310-X188</f>
        <v>103.55114770349</v>
      </c>
      <c r="Y311" s="69" t="n">
        <f aca="false">Y310-Y188</f>
        <v>103.113135329087</v>
      </c>
      <c r="Z311" s="69" t="n">
        <f aca="false">Z310-Z188</f>
        <v>102.69585778535</v>
      </c>
      <c r="AA311" s="69" t="n">
        <f aca="false">AA310-AA188</f>
        <v>102.298224</v>
      </c>
    </row>
    <row r="312" customFormat="false" ht="15" hidden="false" customHeight="true" outlineLevel="0" collapsed="false">
      <c r="A312" s="41" t="s">
        <v>1023</v>
      </c>
      <c r="C312" s="69" t="n">
        <f aca="false">C182*C309+C184</f>
        <v>155.008224</v>
      </c>
      <c r="D312" s="69" t="n">
        <f aca="false">D182*D309+D184</f>
        <v>152.908150377358</v>
      </c>
      <c r="E312" s="69" t="n">
        <f aca="false">E182*E309+E184</f>
        <v>149.045006851316</v>
      </c>
      <c r="F312" s="69" t="n">
        <f aca="false">F182*F309+F184</f>
        <v>145.466670907471</v>
      </c>
      <c r="G312" s="69" t="n">
        <f aca="false">G182*G309+G184</f>
        <v>142.152661220217</v>
      </c>
      <c r="H312" s="69" t="n">
        <f aca="false">H182*H309+H184</f>
        <v>139.084011795368</v>
      </c>
      <c r="I312" s="69" t="n">
        <f aca="false">I182*I309+I184</f>
        <v>136.243155983306</v>
      </c>
      <c r="J312" s="69" t="n">
        <f aca="false">J182*J309+J184</f>
        <v>133.613819580196</v>
      </c>
      <c r="K312" s="69" t="n">
        <f aca="false">K182*K309+K184</f>
        <v>131.180922296954</v>
      </c>
      <c r="L312" s="69" t="n">
        <f aca="false">L182*L309+L184</f>
        <v>128.930486932964</v>
      </c>
      <c r="M312" s="69" t="n">
        <f aca="false">M182*M309+M184</f>
        <v>128.128366574951</v>
      </c>
      <c r="N312" s="69" t="n">
        <f aca="false">N182*N309+N184</f>
        <v>127.366990233114</v>
      </c>
      <c r="O312" s="69" t="n">
        <f aca="false">O182*O309+O184</f>
        <v>126.644054544824</v>
      </c>
      <c r="P312" s="69" t="n">
        <f aca="false">P182*P309+P184</f>
        <v>125.957398885505</v>
      </c>
      <c r="Q312" s="69" t="n">
        <f aca="false">Q182*Q309+Q184</f>
        <v>125.30499592041</v>
      </c>
      <c r="R312" s="69" t="n">
        <f aca="false">R182*R309+R184</f>
        <v>124.684942808284</v>
      </c>
      <c r="S312" s="69" t="n">
        <f aca="false">S182*S309+S184</f>
        <v>124.095453010826</v>
      </c>
      <c r="T312" s="69" t="n">
        <f aca="false">T182*T309+T184</f>
        <v>123.534848665206</v>
      </c>
      <c r="U312" s="69" t="n">
        <f aca="false">U182*U309+U184</f>
        <v>123.001553479915</v>
      </c>
      <c r="V312" s="69" t="n">
        <f aca="false">V182*V309+V184</f>
        <v>122.494086117091</v>
      </c>
      <c r="W312" s="69" t="n">
        <f aca="false">W182*W309+W184</f>
        <v>122.011054027087</v>
      </c>
      <c r="X312" s="69" t="n">
        <f aca="false">X182*X309+X184</f>
        <v>121.55114770349</v>
      </c>
      <c r="Y312" s="69" t="n">
        <f aca="false">Y182*Y309+Y184</f>
        <v>121.113135329087</v>
      </c>
      <c r="Z312" s="69" t="n">
        <f aca="false">Z182*Z309+Z184</f>
        <v>120.69585778535</v>
      </c>
      <c r="AA312" s="69" t="n">
        <f aca="false">AA182*AA309+AA184</f>
        <v>120.298224</v>
      </c>
    </row>
    <row r="313" customFormat="false" ht="15" hidden="false" customHeight="true" outlineLevel="0" collapsed="false">
      <c r="A313" s="41" t="s">
        <v>1025</v>
      </c>
      <c r="C313" s="69" t="n">
        <f aca="false">C312-C188</f>
        <v>137.008224</v>
      </c>
      <c r="D313" s="69" t="n">
        <f aca="false">D312-D188</f>
        <v>134.908150377358</v>
      </c>
      <c r="E313" s="69" t="n">
        <f aca="false">E312-E188</f>
        <v>131.045006851316</v>
      </c>
      <c r="F313" s="69" t="n">
        <f aca="false">F312-F188</f>
        <v>127.466670907471</v>
      </c>
      <c r="G313" s="69" t="n">
        <f aca="false">G312-G188</f>
        <v>124.152661220217</v>
      </c>
      <c r="H313" s="69" t="n">
        <f aca="false">H312-H188</f>
        <v>121.084011795368</v>
      </c>
      <c r="I313" s="69" t="n">
        <f aca="false">I312-I188</f>
        <v>118.243155983306</v>
      </c>
      <c r="J313" s="69" t="n">
        <f aca="false">J312-J188</f>
        <v>115.613819580196</v>
      </c>
      <c r="K313" s="69" t="n">
        <f aca="false">K312-K188</f>
        <v>113.180922296954</v>
      </c>
      <c r="L313" s="69" t="n">
        <f aca="false">L312-L188</f>
        <v>110.930486932964</v>
      </c>
      <c r="M313" s="69" t="n">
        <f aca="false">M312-M188</f>
        <v>110.128366574951</v>
      </c>
      <c r="N313" s="69" t="n">
        <f aca="false">N312-N188</f>
        <v>109.366990233114</v>
      </c>
      <c r="O313" s="69" t="n">
        <f aca="false">O312-O188</f>
        <v>108.644054544824</v>
      </c>
      <c r="P313" s="69" t="n">
        <f aca="false">P312-P188</f>
        <v>107.957398885505</v>
      </c>
      <c r="Q313" s="69" t="n">
        <f aca="false">Q312-Q188</f>
        <v>107.30499592041</v>
      </c>
      <c r="R313" s="69" t="n">
        <f aca="false">R312-R188</f>
        <v>106.684942808284</v>
      </c>
      <c r="S313" s="69" t="n">
        <f aca="false">S312-S188</f>
        <v>106.095453010826</v>
      </c>
      <c r="T313" s="69" t="n">
        <f aca="false">T312-T188</f>
        <v>105.534848665206</v>
      </c>
      <c r="U313" s="69" t="n">
        <f aca="false">U312-U188</f>
        <v>105.001553479915</v>
      </c>
      <c r="V313" s="69" t="n">
        <f aca="false">V312-V188</f>
        <v>104.494086117091</v>
      </c>
      <c r="W313" s="69" t="n">
        <f aca="false">W312-W188</f>
        <v>104.011054027087</v>
      </c>
      <c r="X313" s="69" t="n">
        <f aca="false">X312-X188</f>
        <v>103.55114770349</v>
      </c>
      <c r="Y313" s="69" t="n">
        <f aca="false">Y312-Y188</f>
        <v>103.113135329087</v>
      </c>
      <c r="Z313" s="69" t="n">
        <f aca="false">Z312-Z188</f>
        <v>102.69585778535</v>
      </c>
      <c r="AA313" s="69" t="n">
        <f aca="false">AA312-AA188</f>
        <v>102.298224</v>
      </c>
    </row>
    <row r="314" customFormat="false" ht="15" hidden="false" customHeight="true" outlineLevel="0" collapsed="false">
      <c r="A314" s="41" t="s">
        <v>1026</v>
      </c>
      <c r="C314" s="69" t="n">
        <f aca="false">C313*C190</f>
        <v>128.045069158878</v>
      </c>
      <c r="D314" s="69" t="n">
        <f aca="false">D313*D190</f>
        <v>117.83400329929</v>
      </c>
      <c r="E314" s="69" t="n">
        <f aca="false">E313*E190</f>
        <v>106.971760869877</v>
      </c>
      <c r="F314" s="69" t="n">
        <f aca="false">F313*F190</f>
        <v>97.2437129309469</v>
      </c>
      <c r="G314" s="69" t="n">
        <f aca="false">G313*G190</f>
        <v>88.5191315961328</v>
      </c>
      <c r="H314" s="69" t="n">
        <f aca="false">H313*H190</f>
        <v>80.6833896883502</v>
      </c>
      <c r="I314" s="69" t="n">
        <f aca="false">I313*I190</f>
        <v>73.6358948682235</v>
      </c>
      <c r="J314" s="69" t="n">
        <f aca="false">J313*J190</f>
        <v>67.2882956092137</v>
      </c>
      <c r="K314" s="69" t="n">
        <f aca="false">K313*K190</f>
        <v>61.5629226541079</v>
      </c>
      <c r="L314" s="69" t="n">
        <f aca="false">L313*L190</f>
        <v>56.3914345085316</v>
      </c>
      <c r="M314" s="69" t="n">
        <f aca="false">M313*M190</f>
        <v>52.3211936376909</v>
      </c>
      <c r="N314" s="69" t="n">
        <f aca="false">N313*N190</f>
        <v>48.5602516096674</v>
      </c>
      <c r="O314" s="69" t="n">
        <f aca="false">O313*O190</f>
        <v>45.0834201105652</v>
      </c>
      <c r="P314" s="69" t="n">
        <f aca="false">P313*P190</f>
        <v>41.8677405831832</v>
      </c>
      <c r="Q314" s="69" t="n">
        <f aca="false">Q313*Q190</f>
        <v>38.8922686590922</v>
      </c>
      <c r="R314" s="69" t="n">
        <f aca="false">R313*R190</f>
        <v>36.1378811931169</v>
      </c>
      <c r="S314" s="69" t="n">
        <f aca="false">S313*S190</f>
        <v>33.5871033679157</v>
      </c>
      <c r="T314" s="69" t="n">
        <f aca="false">T313*T190</f>
        <v>31.2239536344949</v>
      </c>
      <c r="U314" s="69" t="n">
        <f aca="false">U313*U190</f>
        <v>29.0338045162797</v>
      </c>
      <c r="V314" s="69" t="n">
        <f aca="false">V313*V190</f>
        <v>27.0032575343252</v>
      </c>
      <c r="W314" s="69" t="n">
        <f aca="false">W313*W190</f>
        <v>25.1200307133638</v>
      </c>
      <c r="X314" s="69" t="n">
        <f aca="false">X313*X190</f>
        <v>23.3728573061119</v>
      </c>
      <c r="Y314" s="69" t="n">
        <f aca="false">Y313*Y190</f>
        <v>21.7513945296239</v>
      </c>
      <c r="Z314" s="69" t="n">
        <f aca="false">Z313*Z190</f>
        <v>20.246141245124</v>
      </c>
      <c r="AA314" s="69" t="n">
        <f aca="false">AA313*AA190</f>
        <v>18.8483636339858</v>
      </c>
    </row>
    <row r="315" customFormat="false" ht="15" hidden="false" customHeight="true" outlineLevel="0" collapsed="false">
      <c r="A315" s="74" t="s">
        <v>1027</v>
      </c>
      <c r="B315" s="20"/>
      <c r="C315" s="75" t="n">
        <f aca="false">C182*C307+C184</f>
        <v>155.008224</v>
      </c>
      <c r="D315" s="75" t="n">
        <f aca="false">D182*D307+D184</f>
        <v>152.908150377358</v>
      </c>
      <c r="E315" s="75" t="n">
        <f aca="false">E182*E307+E184</f>
        <v>149.045006851316</v>
      </c>
      <c r="F315" s="75" t="n">
        <f aca="false">F182*F307+F184</f>
        <v>145.466670907471</v>
      </c>
      <c r="G315" s="75" t="n">
        <f aca="false">G182*G307+G184</f>
        <v>142.152661220217</v>
      </c>
      <c r="H315" s="75" t="n">
        <f aca="false">H182*H307+H184</f>
        <v>139.084011795368</v>
      </c>
      <c r="I315" s="75" t="n">
        <f aca="false">I182*I307+I184</f>
        <v>136.243155983306</v>
      </c>
      <c r="J315" s="75" t="n">
        <f aca="false">J182*J307+J184</f>
        <v>133.613819580196</v>
      </c>
      <c r="K315" s="75" t="n">
        <f aca="false">K182*K307+K184</f>
        <v>131.180922296954</v>
      </c>
      <c r="L315" s="75" t="n">
        <f aca="false">L182*L307+L184</f>
        <v>128.930486932964</v>
      </c>
      <c r="M315" s="75" t="n">
        <f aca="false">M182*M307+M184</f>
        <v>128.128366574951</v>
      </c>
      <c r="N315" s="75" t="n">
        <f aca="false">N182*N307+N184</f>
        <v>127.366990233114</v>
      </c>
      <c r="O315" s="75" t="n">
        <f aca="false">O182*O307+O184</f>
        <v>126.644054544824</v>
      </c>
      <c r="P315" s="75" t="n">
        <f aca="false">P182*P307+P184</f>
        <v>125.957398885505</v>
      </c>
      <c r="Q315" s="75" t="n">
        <f aca="false">Q182*Q307+Q184</f>
        <v>125.30499592041</v>
      </c>
      <c r="R315" s="75" t="n">
        <f aca="false">R182*R307+R184</f>
        <v>124.684942808284</v>
      </c>
      <c r="S315" s="75" t="n">
        <f aca="false">S182*S307+S184</f>
        <v>124.095453010826</v>
      </c>
      <c r="T315" s="75" t="n">
        <f aca="false">T182*T307+T184</f>
        <v>123.534848665206</v>
      </c>
      <c r="U315" s="75" t="n">
        <f aca="false">U182*U307+U184</f>
        <v>123.001553479915</v>
      </c>
      <c r="V315" s="75" t="n">
        <f aca="false">V182*V307+V184</f>
        <v>122.494086117091</v>
      </c>
      <c r="W315" s="75" t="n">
        <f aca="false">W182*W307+W184</f>
        <v>122.011054027087</v>
      </c>
      <c r="X315" s="75" t="n">
        <f aca="false">X182*X307+X184</f>
        <v>121.55114770349</v>
      </c>
      <c r="Y315" s="75" t="n">
        <f aca="false">Y182*Y307+Y184</f>
        <v>121.113135329087</v>
      </c>
      <c r="Z315" s="75" t="n">
        <f aca="false">Z182*Z307+Z184</f>
        <v>120.69585778535</v>
      </c>
      <c r="AA315" s="75" t="n">
        <f aca="false">AA182*AA307+AA184</f>
        <v>120.298224</v>
      </c>
    </row>
    <row r="316" customFormat="false" ht="15" hidden="false" customHeight="true" outlineLevel="0" collapsed="false">
      <c r="A316" s="4" t="s">
        <v>1028</v>
      </c>
      <c r="C316" s="69" t="n">
        <f aca="false">C315-C195</f>
        <v>139.008224</v>
      </c>
      <c r="D316" s="69" t="n">
        <f aca="false">D315-D195</f>
        <v>136.908150377358</v>
      </c>
      <c r="E316" s="69" t="n">
        <f aca="false">E315-E195</f>
        <v>133.045006851316</v>
      </c>
      <c r="F316" s="69" t="n">
        <f aca="false">F315-F195</f>
        <v>129.466670907471</v>
      </c>
      <c r="G316" s="69" t="n">
        <f aca="false">G315-G195</f>
        <v>126.152661220217</v>
      </c>
      <c r="H316" s="69" t="n">
        <f aca="false">H315-H195</f>
        <v>123.084011795368</v>
      </c>
      <c r="I316" s="69" t="n">
        <f aca="false">I315-I195</f>
        <v>120.243155983306</v>
      </c>
      <c r="J316" s="69" t="n">
        <f aca="false">J315-J195</f>
        <v>117.613819580196</v>
      </c>
      <c r="K316" s="69" t="n">
        <f aca="false">K315-K195</f>
        <v>115.180922296954</v>
      </c>
      <c r="L316" s="69" t="n">
        <f aca="false">L315-L195</f>
        <v>112.930486932964</v>
      </c>
      <c r="M316" s="69" t="n">
        <f aca="false">M315-M195</f>
        <v>112.128366574951</v>
      </c>
      <c r="N316" s="69" t="n">
        <f aca="false">N315-N195</f>
        <v>111.366990233114</v>
      </c>
      <c r="O316" s="69" t="n">
        <f aca="false">O315-O195</f>
        <v>110.644054544824</v>
      </c>
      <c r="P316" s="69" t="n">
        <f aca="false">P315-P195</f>
        <v>109.957398885505</v>
      </c>
      <c r="Q316" s="69" t="n">
        <f aca="false">Q315-Q195</f>
        <v>109.30499592041</v>
      </c>
      <c r="R316" s="69" t="n">
        <f aca="false">R315-R195</f>
        <v>108.684942808284</v>
      </c>
      <c r="S316" s="69" t="n">
        <f aca="false">S315-S195</f>
        <v>108.095453010826</v>
      </c>
      <c r="T316" s="69" t="n">
        <f aca="false">T315-T195</f>
        <v>107.534848665206</v>
      </c>
      <c r="U316" s="69" t="n">
        <f aca="false">U315-U195</f>
        <v>107.001553479915</v>
      </c>
      <c r="V316" s="69" t="n">
        <f aca="false">V315-V195</f>
        <v>106.494086117091</v>
      </c>
      <c r="W316" s="69" t="n">
        <f aca="false">W315-W195</f>
        <v>106.011054027087</v>
      </c>
      <c r="X316" s="69" t="n">
        <f aca="false">X315-X195</f>
        <v>105.55114770349</v>
      </c>
      <c r="Y316" s="69" t="n">
        <f aca="false">Y315-Y195</f>
        <v>105.113135329087</v>
      </c>
      <c r="Z316" s="69" t="n">
        <f aca="false">Z315-Z195</f>
        <v>104.69585778535</v>
      </c>
      <c r="AA316" s="69" t="n">
        <f aca="false">AA315-AA195</f>
        <v>104.298224</v>
      </c>
    </row>
    <row r="317" customFormat="false" ht="15" hidden="false" customHeight="true" outlineLevel="0" collapsed="false">
      <c r="A317" s="76" t="s">
        <v>1027</v>
      </c>
      <c r="C317" s="77" t="n">
        <f aca="false">C182*C309+C184</f>
        <v>155.008224</v>
      </c>
      <c r="D317" s="69" t="n">
        <f aca="false">D182*D309+D184</f>
        <v>152.908150377358</v>
      </c>
      <c r="E317" s="69" t="n">
        <f aca="false">E182*E309+E184</f>
        <v>149.045006851316</v>
      </c>
      <c r="F317" s="69" t="n">
        <f aca="false">F182*F309+F184</f>
        <v>145.466670907471</v>
      </c>
      <c r="G317" s="69" t="n">
        <f aca="false">G182*G309+G184</f>
        <v>142.152661220217</v>
      </c>
      <c r="H317" s="69" t="n">
        <f aca="false">H182*H309+H184</f>
        <v>139.084011795368</v>
      </c>
      <c r="I317" s="69" t="n">
        <f aca="false">I182*I309+I184</f>
        <v>136.243155983306</v>
      </c>
      <c r="J317" s="69" t="n">
        <f aca="false">J182*J309+J184</f>
        <v>133.613819580196</v>
      </c>
      <c r="K317" s="69" t="n">
        <f aca="false">K182*K309+K184</f>
        <v>131.180922296954</v>
      </c>
      <c r="L317" s="69" t="n">
        <f aca="false">L182*L309+L184</f>
        <v>128.930486932964</v>
      </c>
      <c r="M317" s="69" t="n">
        <f aca="false">M182*M309+M184</f>
        <v>128.128366574951</v>
      </c>
      <c r="N317" s="69" t="n">
        <f aca="false">N182*N309+N184</f>
        <v>127.366990233114</v>
      </c>
      <c r="O317" s="69" t="n">
        <f aca="false">O182*O309+O184</f>
        <v>126.644054544824</v>
      </c>
      <c r="P317" s="69" t="n">
        <f aca="false">P182*P309+P184</f>
        <v>125.957398885505</v>
      </c>
      <c r="Q317" s="69" t="n">
        <f aca="false">Q182*Q309+Q184</f>
        <v>125.30499592041</v>
      </c>
      <c r="R317" s="69" t="n">
        <f aca="false">R182*R309+R184</f>
        <v>124.684942808284</v>
      </c>
      <c r="S317" s="69" t="n">
        <f aca="false">S182*S309+S184</f>
        <v>124.095453010826</v>
      </c>
      <c r="T317" s="69" t="n">
        <f aca="false">T182*T309+T184</f>
        <v>123.534848665206</v>
      </c>
      <c r="U317" s="69" t="n">
        <f aca="false">U182*U309+U184</f>
        <v>123.001553479915</v>
      </c>
      <c r="V317" s="69" t="n">
        <f aca="false">V182*V309+V184</f>
        <v>122.494086117091</v>
      </c>
      <c r="W317" s="69" t="n">
        <f aca="false">W182*W309+W184</f>
        <v>122.011054027087</v>
      </c>
      <c r="X317" s="69" t="n">
        <f aca="false">X182*X309+X184</f>
        <v>121.55114770349</v>
      </c>
      <c r="Y317" s="69" t="n">
        <f aca="false">Y182*Y309+Y184</f>
        <v>121.113135329087</v>
      </c>
      <c r="Z317" s="69" t="n">
        <f aca="false">Z182*Z309+Z184</f>
        <v>120.69585778535</v>
      </c>
      <c r="AA317" s="69" t="n">
        <f aca="false">AA182*AA309+AA184</f>
        <v>120.298224</v>
      </c>
    </row>
    <row r="318" customFormat="false" ht="15" hidden="false" customHeight="true" outlineLevel="0" collapsed="false">
      <c r="A318" s="41" t="s">
        <v>1029</v>
      </c>
      <c r="C318" s="69" t="n">
        <f aca="false">C317-C195</f>
        <v>139.008224</v>
      </c>
      <c r="D318" s="69" t="n">
        <f aca="false">D317-D195</f>
        <v>136.908150377358</v>
      </c>
      <c r="E318" s="69" t="n">
        <f aca="false">E317-E195</f>
        <v>133.045006851316</v>
      </c>
      <c r="F318" s="69" t="n">
        <f aca="false">F317-F195</f>
        <v>129.466670907471</v>
      </c>
      <c r="G318" s="69" t="n">
        <f aca="false">G317-G195</f>
        <v>126.152661220217</v>
      </c>
      <c r="H318" s="69" t="n">
        <f aca="false">H317-H195</f>
        <v>123.084011795368</v>
      </c>
      <c r="I318" s="69" t="n">
        <f aca="false">I317-I195</f>
        <v>120.243155983306</v>
      </c>
      <c r="J318" s="69" t="n">
        <f aca="false">J317-J195</f>
        <v>117.613819580196</v>
      </c>
      <c r="K318" s="69" t="n">
        <f aca="false">K317-K195</f>
        <v>115.180922296954</v>
      </c>
      <c r="L318" s="69" t="n">
        <f aca="false">L317-L195</f>
        <v>112.930486932964</v>
      </c>
      <c r="M318" s="69" t="n">
        <f aca="false">M317-M195</f>
        <v>112.128366574951</v>
      </c>
      <c r="N318" s="69" t="n">
        <f aca="false">N317-N195</f>
        <v>111.366990233114</v>
      </c>
      <c r="O318" s="69" t="n">
        <f aca="false">O317-O195</f>
        <v>110.644054544824</v>
      </c>
      <c r="P318" s="69" t="n">
        <f aca="false">P317-P195</f>
        <v>109.957398885505</v>
      </c>
      <c r="Q318" s="69" t="n">
        <f aca="false">Q317-Q195</f>
        <v>109.30499592041</v>
      </c>
      <c r="R318" s="69" t="n">
        <f aca="false">R317-R195</f>
        <v>108.684942808284</v>
      </c>
      <c r="S318" s="69" t="n">
        <f aca="false">S317-S195</f>
        <v>108.095453010826</v>
      </c>
      <c r="T318" s="69" t="n">
        <f aca="false">T317-T195</f>
        <v>107.534848665206</v>
      </c>
      <c r="U318" s="69" t="n">
        <f aca="false">U317-U195</f>
        <v>107.001553479915</v>
      </c>
      <c r="V318" s="69" t="n">
        <f aca="false">V317-V195</f>
        <v>106.494086117091</v>
      </c>
      <c r="W318" s="69" t="n">
        <f aca="false">W317-W195</f>
        <v>106.011054027087</v>
      </c>
      <c r="X318" s="69" t="n">
        <f aca="false">X317-X195</f>
        <v>105.55114770349</v>
      </c>
      <c r="Y318" s="69" t="n">
        <f aca="false">Y317-Y195</f>
        <v>105.113135329087</v>
      </c>
      <c r="Z318" s="69" t="n">
        <f aca="false">Z317-Z195</f>
        <v>104.69585778535</v>
      </c>
      <c r="AA318" s="69" t="n">
        <f aca="false">AA317-AA195</f>
        <v>104.298224</v>
      </c>
    </row>
    <row r="319" customFormat="false" ht="15" hidden="false" customHeight="true" outlineLevel="0" collapsed="false">
      <c r="A319" s="41" t="s">
        <v>1030</v>
      </c>
      <c r="C319" s="69" t="n">
        <f aca="false">C318*C197</f>
        <v>128.711318518518</v>
      </c>
      <c r="D319" s="69" t="n">
        <f aca="false">D318*D197</f>
        <v>117.376672134223</v>
      </c>
      <c r="E319" s="69" t="n">
        <f aca="false">E318*E197</f>
        <v>105.615415945324</v>
      </c>
      <c r="F319" s="69" t="n">
        <f aca="false">F318*F197</f>
        <v>95.161868059165</v>
      </c>
      <c r="G319" s="69" t="n">
        <f aca="false">G318*G197</f>
        <v>85.8573814875713</v>
      </c>
      <c r="H319" s="69" t="n">
        <f aca="false">H318*H197</f>
        <v>77.5638057883626</v>
      </c>
      <c r="I319" s="69" t="n">
        <f aca="false">I318*I197</f>
        <v>70.1607266122658</v>
      </c>
      <c r="J319" s="69" t="n">
        <f aca="false">J318*J197</f>
        <v>63.5430871066091</v>
      </c>
      <c r="K319" s="69" t="n">
        <f aca="false">K318*K197</f>
        <v>57.6191374123002</v>
      </c>
      <c r="L319" s="69" t="n">
        <f aca="false">L318*L197</f>
        <v>52.3086661535813</v>
      </c>
      <c r="M319" s="69" t="n">
        <f aca="false">M318*M197</f>
        <v>48.0899344695277</v>
      </c>
      <c r="N319" s="69" t="n">
        <f aca="false">N318*N197</f>
        <v>44.2253640805634</v>
      </c>
      <c r="O319" s="69" t="n">
        <f aca="false">O318*O197</f>
        <v>40.6835892334512</v>
      </c>
      <c r="P319" s="69" t="n">
        <f aca="false">P318*P197</f>
        <v>37.4362105301434</v>
      </c>
      <c r="Q319" s="69" t="n">
        <f aca="false">Q318*Q197</f>
        <v>34.4574932752397</v>
      </c>
      <c r="R319" s="69" t="n">
        <f aca="false">R318*R197</f>
        <v>31.7240987731514</v>
      </c>
      <c r="S319" s="69" t="n">
        <f aca="false">S318*S197</f>
        <v>29.2148447412491</v>
      </c>
      <c r="T319" s="69" t="n">
        <f aca="false">T318*T197</f>
        <v>26.9104914746135</v>
      </c>
      <c r="U319" s="69" t="n">
        <f aca="false">U318*U197</f>
        <v>24.7935508076502</v>
      </c>
      <c r="V319" s="69" t="n">
        <f aca="false">V318*V197</f>
        <v>22.8481152755552</v>
      </c>
      <c r="W319" s="69" t="n">
        <f aca="false">W318*W197</f>
        <v>21.0597051912279</v>
      </c>
      <c r="X319" s="69" t="n">
        <f aca="false">X318*X197</f>
        <v>19.4151316265643</v>
      </c>
      <c r="Y319" s="69" t="n">
        <f aca="false">Y318*Y197</f>
        <v>17.902373526231</v>
      </c>
      <c r="Z319" s="69" t="n">
        <f aca="false">Z318*Z197</f>
        <v>16.5104673914273</v>
      </c>
      <c r="AA319" s="69" t="n">
        <f aca="false">AA318*AA197</f>
        <v>15.2294081546177</v>
      </c>
    </row>
    <row r="320" customFormat="false" ht="15" hidden="false" customHeight="true" outlineLevel="0" collapsed="false">
      <c r="A320" s="19" t="s">
        <v>1031</v>
      </c>
      <c r="B320" s="20"/>
      <c r="C320" s="78" t="n">
        <f aca="false">SUM(C312:AA312)</f>
        <v>3270.51521903029</v>
      </c>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row>
    <row r="321" customFormat="false" ht="15" hidden="false" customHeight="true" outlineLevel="0" collapsed="false">
      <c r="A321" s="76" t="s">
        <v>1032</v>
      </c>
      <c r="C321" s="71" t="n">
        <f aca="false">SUM(C312:AA312)</f>
        <v>3270.51521903029</v>
      </c>
    </row>
    <row r="322" customFormat="false" ht="15" hidden="false" customHeight="true" outlineLevel="0" collapsed="false">
      <c r="A322" s="19" t="s">
        <v>1031</v>
      </c>
      <c r="B322" s="20"/>
      <c r="C322" s="81" t="n">
        <f aca="false">C321-C203</f>
        <v>1404.91521903029</v>
      </c>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row>
    <row r="323" customFormat="false" ht="15" hidden="false" customHeight="true" outlineLevel="0" collapsed="false">
      <c r="A323" s="41" t="s">
        <v>1032</v>
      </c>
      <c r="C323" s="35" t="n">
        <f aca="false">SUM(C314:AA314)</f>
        <v>1371.22527745809</v>
      </c>
    </row>
    <row r="324" customFormat="false" ht="15" hidden="false" customHeight="true" outlineLevel="0" collapsed="false">
      <c r="A324" s="70" t="s">
        <v>1033</v>
      </c>
      <c r="C324" s="71" t="n">
        <f aca="false">C323-C203</f>
        <v>-494.374722541907</v>
      </c>
    </row>
    <row r="325" customFormat="false" ht="15" hidden="false" customHeight="true" outlineLevel="0" collapsed="false">
      <c r="A325" s="51" t="s">
        <v>1034</v>
      </c>
      <c r="C325" s="35" t="n">
        <f aca="false">C324-C205</f>
        <v>0</v>
      </c>
    </row>
    <row r="326" customFormat="false" ht="15" hidden="false" customHeight="true" outlineLevel="0" collapsed="false">
      <c r="A326" s="70" t="s">
        <v>1035</v>
      </c>
      <c r="C326" s="71" t="n">
        <f aca="false">C325-C209</f>
        <v>-2356</v>
      </c>
    </row>
    <row r="327" customFormat="false" ht="15" hidden="false" customHeight="true" outlineLevel="0" collapsed="false">
      <c r="A327" s="41" t="s">
        <v>1036</v>
      </c>
      <c r="C327" s="35" t="n">
        <f aca="false">SUM(C319:AA319)</f>
        <v>1284.41885776913</v>
      </c>
    </row>
    <row r="328" customFormat="false" ht="15" hidden="false" customHeight="true" outlineLevel="0" collapsed="false">
      <c r="A328" s="70" t="s">
        <v>1035</v>
      </c>
      <c r="C328" s="71" t="n">
        <f aca="false">C327-C209</f>
        <v>-1071.58114223087</v>
      </c>
    </row>
    <row r="329" customFormat="false" ht="15" hidden="false" customHeight="true" outlineLevel="0" collapsed="false">
      <c r="A329" s="51" t="s">
        <v>1037</v>
      </c>
      <c r="C329" s="35" t="n">
        <f aca="false">C328-C211</f>
        <v>0</v>
      </c>
    </row>
    <row r="332" customFormat="false" ht="15.75" hidden="false" customHeight="true" outlineLevel="0" collapsed="false">
      <c r="A332" s="82" t="s">
        <v>1038</v>
      </c>
    </row>
    <row r="333" customFormat="false" ht="15" hidden="false" customHeight="true" outlineLevel="0" collapsed="false">
      <c r="A333" s="64" t="s">
        <v>1039</v>
      </c>
    </row>
    <row r="335" customFormat="false" ht="15" hidden="false" customHeight="true" outlineLevel="0" collapsed="false">
      <c r="A335" s="83" t="s">
        <v>1040</v>
      </c>
      <c r="C335" s="35" t="n">
        <f aca="false">C202</f>
        <v>2200</v>
      </c>
    </row>
    <row r="336" customFormat="false" ht="15" hidden="false" customHeight="true" outlineLevel="0" collapsed="false">
      <c r="A336" s="83" t="s">
        <v>1041</v>
      </c>
      <c r="C336" s="84" t="n">
        <f aca="false">C204-C335</f>
        <v>-828.774722541907</v>
      </c>
    </row>
    <row r="338" customFormat="false" ht="15" hidden="false" customHeight="true" outlineLevel="0" collapsed="false">
      <c r="A338" s="83" t="s">
        <v>1042</v>
      </c>
      <c r="C338" s="35" t="n">
        <f aca="false">C208</f>
        <v>3800</v>
      </c>
    </row>
    <row r="339" customFormat="false" ht="15" hidden="false" customHeight="true" outlineLevel="0" collapsed="false">
      <c r="A339" s="83" t="s">
        <v>1043</v>
      </c>
      <c r="C339" s="84" t="n">
        <f aca="false">C210-C338</f>
        <v>-2515.58114223087</v>
      </c>
    </row>
    <row r="341" customFormat="false" ht="15" hidden="false" customHeight="true" outlineLevel="0" collapsed="false">
      <c r="A341" s="60" t="s">
        <v>1044</v>
      </c>
    </row>
    <row r="344" customFormat="false" ht="15.75" hidden="false" customHeight="true" outlineLevel="0" collapsed="false">
      <c r="A344" s="85" t="s">
        <v>1045</v>
      </c>
    </row>
    <row r="345" customFormat="false" ht="15" hidden="false" customHeight="true" outlineLevel="0" collapsed="false">
      <c r="A345" s="86" t="s">
        <v>1046</v>
      </c>
    </row>
    <row r="347" customFormat="false" ht="15" hidden="false" customHeight="true" outlineLevel="0" collapsed="false">
      <c r="A347" s="60" t="s">
        <v>1047</v>
      </c>
    </row>
    <row r="348" customFormat="false" ht="15" hidden="false" customHeight="true" outlineLevel="0" collapsed="false">
      <c r="A348" s="60" t="s">
        <v>1048</v>
      </c>
    </row>
    <row r="349" customFormat="false" ht="15" hidden="false" customHeight="true" outlineLevel="0" collapsed="false">
      <c r="A349" s="60" t="s">
        <v>1049</v>
      </c>
    </row>
    <row r="350" customFormat="false" ht="15" hidden="false" customHeight="true" outlineLevel="0" collapsed="false">
      <c r="A350" s="60" t="s">
        <v>1050</v>
      </c>
    </row>
    <row r="351" customFormat="false" ht="15" hidden="false" customHeight="true" outlineLevel="0" collapsed="false">
      <c r="A351" s="60" t="s">
        <v>1051</v>
      </c>
    </row>
    <row r="352" customFormat="false" ht="15" hidden="false" customHeight="true" outlineLevel="0" collapsed="false">
      <c r="A352" s="60"/>
    </row>
    <row r="353" customFormat="false" ht="15" hidden="false" customHeight="true" outlineLevel="0" collapsed="false">
      <c r="A353" s="60" t="s">
        <v>1052</v>
      </c>
    </row>
    <row r="354" customFormat="false" ht="15" hidden="false" customHeight="true" outlineLevel="0" collapsed="false">
      <c r="A354" s="60" t="s">
        <v>1053</v>
      </c>
    </row>
    <row r="355" customFormat="false" ht="15" hidden="false" customHeight="true" outlineLevel="0" collapsed="false">
      <c r="A355" s="60" t="s">
        <v>1054</v>
      </c>
    </row>
    <row r="356" customFormat="false" ht="15" hidden="false" customHeight="true" outlineLevel="0" collapsed="false">
      <c r="A356" s="60" t="s">
        <v>1055</v>
      </c>
    </row>
    <row r="358" customFormat="false" ht="15" hidden="false" customHeight="true" outlineLevel="0" collapsed="false">
      <c r="A358" s="83" t="s">
        <v>758</v>
      </c>
      <c r="B358" s="83" t="s">
        <v>1056</v>
      </c>
      <c r="C358" s="83" t="s">
        <v>1057</v>
      </c>
      <c r="D358" s="83" t="s">
        <v>1058</v>
      </c>
    </row>
    <row r="359" customFormat="false" ht="15" hidden="false" customHeight="true" outlineLevel="0" collapsed="false">
      <c r="A359" s="1" t="n">
        <v>2026</v>
      </c>
      <c r="B359" s="50" t="n">
        <v>78.83</v>
      </c>
      <c r="C359" s="50" t="n">
        <v>67</v>
      </c>
      <c r="D359" s="50" t="n">
        <v>70.94</v>
      </c>
    </row>
    <row r="360" customFormat="false" ht="15" hidden="false" customHeight="true" outlineLevel="0" collapsed="false">
      <c r="A360" s="1" t="n">
        <v>2030</v>
      </c>
      <c r="B360" s="50" t="n">
        <v>82.03</v>
      </c>
      <c r="C360" s="50" t="n">
        <v>69.72</v>
      </c>
      <c r="D360" s="50" t="n">
        <v>73.82</v>
      </c>
    </row>
    <row r="361" customFormat="false" ht="15" hidden="false" customHeight="true" outlineLevel="0" collapsed="false">
      <c r="A361" s="1" t="n">
        <v>2035</v>
      </c>
      <c r="B361" s="50" t="n">
        <v>86.21</v>
      </c>
      <c r="C361" s="50" t="n">
        <v>73.28</v>
      </c>
      <c r="D361" s="50" t="n">
        <v>77.59</v>
      </c>
    </row>
    <row r="362" customFormat="false" ht="15" hidden="false" customHeight="true" outlineLevel="0" collapsed="false">
      <c r="A362" s="1" t="n">
        <v>2040</v>
      </c>
      <c r="B362" s="50" t="n">
        <v>90.61</v>
      </c>
      <c r="C362" s="50" t="n">
        <v>77.02</v>
      </c>
      <c r="D362" s="50" t="n">
        <v>81.55</v>
      </c>
    </row>
    <row r="363" customFormat="false" ht="15" hidden="false" customHeight="true" outlineLevel="0" collapsed="false">
      <c r="A363" s="1" t="n">
        <v>2045</v>
      </c>
      <c r="B363" s="50" t="n">
        <v>95.23</v>
      </c>
      <c r="C363" s="50" t="n">
        <v>80.95</v>
      </c>
      <c r="D363" s="50" t="n">
        <v>85.71</v>
      </c>
    </row>
    <row r="365" customFormat="false" ht="15" hidden="false" customHeight="true" outlineLevel="0" collapsed="false">
      <c r="A365" s="59" t="s">
        <v>1059</v>
      </c>
    </row>
    <row r="366" customFormat="false" ht="15" hidden="false" customHeight="true" outlineLevel="0" collapsed="false">
      <c r="A366" s="59" t="s">
        <v>1060</v>
      </c>
    </row>
    <row r="367" customFormat="false" ht="15" hidden="false" customHeight="true" outlineLevel="0" collapsed="false">
      <c r="A367" s="59" t="s">
        <v>1061</v>
      </c>
    </row>
    <row r="368" customFormat="false" ht="15" hidden="false" customHeight="true" outlineLevel="0" collapsed="false">
      <c r="A368" s="59" t="s">
        <v>1062</v>
      </c>
    </row>
    <row r="369" customFormat="false" ht="15" hidden="false" customHeight="true" outlineLevel="0" collapsed="false">
      <c r="A369" s="59" t="s">
        <v>1063</v>
      </c>
    </row>
    <row r="370" customFormat="false" ht="15" hidden="false" customHeight="true" outlineLevel="0" collapsed="false">
      <c r="A370" s="59" t="s">
        <v>1064</v>
      </c>
    </row>
    <row r="371" customFormat="false" ht="15" hidden="false" customHeight="true" outlineLevel="0" collapsed="false">
      <c r="A371" s="59" t="s">
        <v>1065</v>
      </c>
    </row>
    <row r="372" customFormat="false" ht="15" hidden="false" customHeight="true" outlineLevel="0" collapsed="false">
      <c r="A372" s="59" t="s">
        <v>1066</v>
      </c>
    </row>
    <row r="373" customFormat="false" ht="15" hidden="false" customHeight="true" outlineLevel="0" collapsed="false">
      <c r="A373" s="59" t="s">
        <v>1067</v>
      </c>
    </row>
    <row r="374" customFormat="false" ht="15" hidden="false" customHeight="true" outlineLevel="0" collapsed="false">
      <c r="A374" s="59" t="s">
        <v>1068</v>
      </c>
    </row>
    <row r="375" customFormat="false" ht="15" hidden="false" customHeight="true" outlineLevel="0" collapsed="false">
      <c r="A375" s="59" t="s">
        <v>1069</v>
      </c>
    </row>
    <row r="378" customFormat="false" ht="15.75" hidden="false" customHeight="true" outlineLevel="0" collapsed="false">
      <c r="A378" s="85" t="s">
        <v>1070</v>
      </c>
    </row>
    <row r="379" customFormat="false" ht="15" hidden="false" customHeight="true" outlineLevel="0" collapsed="false">
      <c r="A379" s="86" t="s">
        <v>1071</v>
      </c>
    </row>
    <row r="381" customFormat="false" ht="15" hidden="false" customHeight="true" outlineLevel="0" collapsed="false">
      <c r="A381" s="60" t="s">
        <v>1072</v>
      </c>
    </row>
    <row r="382" customFormat="false" ht="15" hidden="false" customHeight="true" outlineLevel="0" collapsed="false">
      <c r="A382" s="60" t="s">
        <v>1073</v>
      </c>
    </row>
    <row r="383" customFormat="false" ht="15" hidden="false" customHeight="true" outlineLevel="0" collapsed="false">
      <c r="A383" s="60" t="s">
        <v>1074</v>
      </c>
    </row>
    <row r="384" customFormat="false" ht="15" hidden="false" customHeight="true" outlineLevel="0" collapsed="false">
      <c r="A384" s="60" t="s">
        <v>1075</v>
      </c>
    </row>
    <row r="385" customFormat="false" ht="15" hidden="false" customHeight="true" outlineLevel="0" collapsed="false">
      <c r="A385" s="60" t="s">
        <v>1076</v>
      </c>
    </row>
    <row r="386" customFormat="false" ht="15" hidden="false" customHeight="true" outlineLevel="0" collapsed="false">
      <c r="A386" s="60"/>
    </row>
    <row r="387" customFormat="false" ht="15" hidden="false" customHeight="true" outlineLevel="0" collapsed="false">
      <c r="A387" s="60" t="s">
        <v>1077</v>
      </c>
    </row>
    <row r="388" customFormat="false" ht="15" hidden="false" customHeight="true" outlineLevel="0" collapsed="false">
      <c r="A388" s="60" t="s">
        <v>1078</v>
      </c>
    </row>
    <row r="389" customFormat="false" ht="15" hidden="false" customHeight="true" outlineLevel="0" collapsed="false">
      <c r="A389" s="60" t="s">
        <v>1079</v>
      </c>
    </row>
    <row r="390" customFormat="false" ht="15" hidden="false" customHeight="true" outlineLevel="0" collapsed="false">
      <c r="A390" s="60" t="s">
        <v>1080</v>
      </c>
    </row>
    <row r="391" customFormat="false" ht="15" hidden="false" customHeight="true" outlineLevel="0" collapsed="false">
      <c r="A391" s="60" t="s">
        <v>1081</v>
      </c>
    </row>
    <row r="393" customFormat="false" ht="15" hidden="false" customHeight="true" outlineLevel="0" collapsed="false">
      <c r="A393" s="83" t="s">
        <v>1082</v>
      </c>
      <c r="B393" s="35" t="n">
        <v>200</v>
      </c>
    </row>
    <row r="394" customFormat="false" ht="15" hidden="false" customHeight="true" outlineLevel="0" collapsed="false">
      <c r="A394" s="83" t="s">
        <v>1083</v>
      </c>
      <c r="B394" s="35" t="n">
        <v>100</v>
      </c>
    </row>
    <row r="395" customFormat="false" ht="15" hidden="false" customHeight="true" outlineLevel="0" collapsed="false">
      <c r="A395" s="83" t="s">
        <v>1084</v>
      </c>
      <c r="B395" s="35" t="n">
        <f aca="false">B393+B394</f>
        <v>300</v>
      </c>
    </row>
    <row r="397" customFormat="false" ht="15" hidden="false" customHeight="true" outlineLevel="0" collapsed="false">
      <c r="A397" s="83" t="s">
        <v>1085</v>
      </c>
      <c r="B397" s="52" t="n">
        <v>1</v>
      </c>
    </row>
    <row r="398" customFormat="false" ht="15" hidden="false" customHeight="true" outlineLevel="0" collapsed="false">
      <c r="A398" s="83" t="s">
        <v>1086</v>
      </c>
      <c r="B398" s="84" t="n">
        <f aca="false">B395*B397</f>
        <v>300</v>
      </c>
    </row>
    <row r="400" customFormat="false" ht="15" hidden="false" customHeight="true" outlineLevel="0" collapsed="false">
      <c r="A400" s="59" t="s">
        <v>1087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2026-08-05T22:29:57Z</dcterms:created>
  <dc:creator>openpyxl</dc:creator>
  <dc:description/>
  <dc:language>en-US</dc:language>
  <cp:lastModifiedBy/>
  <dcterms:modified xsi:type="dcterms:W3CDTF">2026-08-27T13:56:36Z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